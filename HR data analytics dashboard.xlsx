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Ex4.xml" ContentType="application/vnd.ms-office.chartex+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88E88085-0B8D-44F7-9645-55D85BBB1F84}" xr6:coauthVersionLast="47" xr6:coauthVersionMax="47" xr10:uidLastSave="{00000000-0000-0000-0000-000000000000}"/>
  <bookViews>
    <workbookView xWindow="-108" yWindow="-108" windowWidth="23256" windowHeight="12456" firstSheet="1" activeTab="1" xr2:uid="{00000000-000D-0000-FFFF-FFFF00000000}"/>
  </bookViews>
  <sheets>
    <sheet name="KPI" sheetId="7" r:id="rId1"/>
    <sheet name="Dashboard" sheetId="8" r:id="rId2"/>
    <sheet name="Rating" sheetId="9" r:id="rId3"/>
    <sheet name="Gender" sheetId="10" r:id="rId4"/>
    <sheet name="Education By Attrition" sheetId="11" r:id="rId5"/>
    <sheet name="Attrition By Job" sheetId="12" r:id="rId6"/>
    <sheet name="Dept wise attrition" sheetId="13" r:id="rId7"/>
    <sheet name="Attrition By Age" sheetId="14" r:id="rId8"/>
    <sheet name="Marital Status" sheetId="15" r:id="rId9"/>
    <sheet name="Data" sheetId="1" r:id="rId10"/>
  </sheets>
  <definedNames>
    <definedName name="_xlchart.v1.3" hidden="1">'Attrition By Job'!$D$4:$D$12</definedName>
    <definedName name="_xlchart.v1.4" hidden="1">'Attrition By Job'!$E$4:$E$12</definedName>
    <definedName name="_xlchart.v1.5" hidden="1">'Attrition By Job'!$D$4:$D$12</definedName>
    <definedName name="_xlchart.v1.6" hidden="1">'Attrition By Job'!$E$4:$E$12</definedName>
    <definedName name="_xlchart.v2.0" hidden="1">'Marital Status'!$D$4:$D$6</definedName>
    <definedName name="_xlchart.v2.1" hidden="1">'Marital Status'!$E$3</definedName>
    <definedName name="_xlchart.v2.10" hidden="1">'Marital Status'!$D$4:$D$6</definedName>
    <definedName name="_xlchart.v2.11" hidden="1">'Marital Status'!$E$3</definedName>
    <definedName name="_xlchart.v2.12" hidden="1">'Marital Status'!$E$4:$E$6</definedName>
    <definedName name="_xlchart.v2.2"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#N/A</definedName>
    <definedName name="Slicer_Gender1">#N/A</definedName>
    <definedName name="Slicer_Gender2">#N/A</definedName>
  </definedNames>
  <calcPr calcId="191029"/>
  <pivotCaches>
    <pivotCache cacheId="1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D5" i="15" l="1"/>
  <c r="D4" i="15"/>
  <c r="D6" i="15"/>
  <c r="D5" i="12"/>
  <c r="D6" i="12"/>
  <c r="D7" i="12"/>
  <c r="D8" i="12"/>
  <c r="D9" i="12"/>
  <c r="D10" i="12"/>
  <c r="D11" i="12"/>
  <c r="D12" i="12"/>
  <c r="D4" i="12"/>
  <c r="C8" i="7"/>
  <c r="B8" i="7"/>
  <c r="A8" i="7"/>
  <c r="B6" i="9"/>
  <c r="E4" i="15"/>
  <c r="E5" i="15"/>
  <c r="E6" i="15"/>
  <c r="E7" i="12"/>
  <c r="E8" i="12"/>
  <c r="E10" i="12"/>
  <c r="E5" i="12"/>
  <c r="E11" i="12"/>
  <c r="E12" i="12"/>
  <c r="E6" i="12"/>
  <c r="E9" i="12"/>
  <c r="E4" i="12"/>
  <c r="B9" i="10"/>
  <c r="B10" i="10"/>
  <c r="C9" i="10" l="1"/>
  <c r="C10" i="10"/>
  <c r="B7" i="9"/>
  <c r="C7" i="9" s="1"/>
  <c r="C6" i="9"/>
  <c r="D8" i="7"/>
  <c r="E8" i="7"/>
</calcChain>
</file>

<file path=xl/sharedStrings.xml><?xml version="1.0" encoding="utf-8"?>
<sst xmlns="http://schemas.openxmlformats.org/spreadsheetml/2006/main" count="19210" uniqueCount="1570">
  <si>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</si>
  <si>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</si>
  <si>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</si>
  <si>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</si>
  <si>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</si>
  <si>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</si>
  <si>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</si>
  <si>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</si>
  <si>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</si>
  <si>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</si>
  <si>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</si>
  <si>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</si>
  <si>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</si>
  <si>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</si>
  <si>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</si>
  <si>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</si>
  <si>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</si>
  <si>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</si>
  <si>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</si>
  <si>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</si>
  <si>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</si>
  <si>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</si>
  <si>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</si>
  <si>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</si>
  <si>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</si>
  <si>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</si>
  <si>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</si>
  <si>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</si>
  <si>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</si>
  <si>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</si>
  <si>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</si>
  <si>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</si>
  <si>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</si>
  <si>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</si>
  <si>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</si>
  <si>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</si>
  <si>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</si>
  <si>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</si>
  <si>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</si>
  <si>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</si>
  <si>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</si>
  <si>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</si>
  <si>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</si>
  <si>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</si>
  <si>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</si>
  <si>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</si>
  <si>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</si>
  <si>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</si>
  <si>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</si>
  <si>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</si>
  <si>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</si>
  <si>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</si>
  <si>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</si>
  <si>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</si>
  <si>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</si>
  <si>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</si>
  <si>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</si>
  <si>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</si>
  <si>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</si>
  <si>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</si>
  <si>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</si>
  <si>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</si>
  <si>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</si>
  <si>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</si>
  <si>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</si>
  <si>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</si>
  <si>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</si>
  <si>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</si>
  <si>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</si>
  <si>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</si>
  <si>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</si>
  <si>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</si>
  <si>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</si>
  <si>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</si>
  <si>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</si>
  <si>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</si>
  <si>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</si>
  <si>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</si>
  <si>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</si>
  <si>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</si>
  <si>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</si>
  <si>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</si>
  <si>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</si>
  <si>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</si>
  <si>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</si>
  <si>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</si>
  <si>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</si>
  <si>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</si>
  <si>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</si>
  <si>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</si>
  <si>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</si>
  <si>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</si>
  <si>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</si>
  <si>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</si>
  <si>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</si>
  <si>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</si>
  <si>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</si>
  <si>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</si>
  <si>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</si>
  <si>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</si>
  <si>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</si>
  <si>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</si>
  <si>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</si>
  <si>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</si>
  <si>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</si>
  <si>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</si>
  <si>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</si>
  <si>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</si>
  <si>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</si>
  <si>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</si>
  <si>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</si>
  <si>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</si>
  <si>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</si>
  <si>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</si>
  <si>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</si>
  <si>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</si>
  <si>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</si>
  <si>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</si>
  <si>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</si>
  <si>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</si>
  <si>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</si>
  <si>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</si>
  <si>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</si>
  <si>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</si>
  <si>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</si>
  <si>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</si>
  <si>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</si>
  <si>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</si>
  <si>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</si>
  <si>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</si>
  <si>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</si>
  <si>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</si>
  <si>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</si>
  <si>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</si>
  <si>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</si>
  <si>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</si>
  <si>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</si>
  <si>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</si>
  <si>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</si>
  <si>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</si>
  <si>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</si>
  <si>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</si>
  <si>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</si>
  <si>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</si>
  <si>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</si>
  <si>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</si>
  <si>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</si>
  <si>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</si>
  <si>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</si>
  <si>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</si>
  <si>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</si>
  <si>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</si>
  <si>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</si>
  <si>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</si>
  <si>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</si>
  <si>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</si>
  <si>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</si>
  <si>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</si>
  <si>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</si>
  <si>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</si>
  <si>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</si>
  <si>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</si>
  <si>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</si>
  <si>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</si>
  <si>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</si>
  <si>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</si>
  <si>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</si>
  <si>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</si>
  <si>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</si>
  <si>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</si>
  <si>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</si>
  <si>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</si>
  <si>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</si>
  <si>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</si>
  <si>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</si>
  <si>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</si>
  <si>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</si>
  <si>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</si>
  <si>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</si>
  <si>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</si>
  <si>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</si>
  <si>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</si>
  <si>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</si>
  <si>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</si>
  <si>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</si>
  <si>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</si>
  <si>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</si>
  <si>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</si>
  <si>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</si>
  <si>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</si>
  <si>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</si>
  <si>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</si>
  <si>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</si>
  <si>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</si>
  <si>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</si>
  <si>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</si>
  <si>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</si>
  <si>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</si>
  <si>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</si>
  <si>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</si>
  <si>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</si>
  <si>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</si>
  <si>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</si>
  <si>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</si>
  <si>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</si>
  <si>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</si>
  <si>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</si>
  <si>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</si>
  <si>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</si>
  <si>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</si>
  <si>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</si>
  <si>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</si>
  <si>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</si>
  <si>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</si>
  <si>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</si>
  <si>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</si>
  <si>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</si>
  <si>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</si>
  <si>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</si>
  <si>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</si>
  <si>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</si>
  <si>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</si>
  <si>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</si>
  <si>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</si>
  <si>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</si>
  <si>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</si>
  <si>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</si>
  <si>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</si>
  <si>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</si>
  <si>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</si>
  <si>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</si>
  <si>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</si>
  <si>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</si>
  <si>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</si>
  <si>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</si>
  <si>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</si>
  <si>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</si>
  <si>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</si>
  <si>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</si>
  <si>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</si>
  <si>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</si>
  <si>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</si>
  <si>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</si>
  <si>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</si>
  <si>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</si>
  <si>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</si>
  <si>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</si>
  <si>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</si>
  <si>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</si>
  <si>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</si>
  <si>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</si>
  <si>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</si>
  <si>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</si>
  <si>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</si>
  <si>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</si>
  <si>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</si>
  <si>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</si>
  <si>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</si>
  <si>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</si>
  <si>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</si>
  <si>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</si>
  <si>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</si>
  <si>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</si>
  <si>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</si>
  <si>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</si>
  <si>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</si>
  <si>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</si>
  <si>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</si>
  <si>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</si>
  <si>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</si>
  <si>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</si>
  <si>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</si>
  <si>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</si>
  <si>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</si>
  <si>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</si>
  <si>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</si>
  <si>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</si>
  <si>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</si>
  <si>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</si>
  <si>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</si>
  <si>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</si>
  <si>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</si>
  <si>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</si>
  <si>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</si>
  <si>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</si>
  <si>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</si>
  <si>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</si>
  <si>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</si>
  <si>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</si>
  <si>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</si>
  <si>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</si>
  <si>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</si>
  <si>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</si>
  <si>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</si>
  <si>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</si>
  <si>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</si>
  <si>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</si>
  <si>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</si>
  <si>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</si>
  <si>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</si>
  <si>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</si>
  <si>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</si>
  <si>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</si>
  <si>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</si>
  <si>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</si>
  <si>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</si>
  <si>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</si>
  <si>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</si>
  <si>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</si>
  <si>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</si>
  <si>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</si>
  <si>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</si>
  <si>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</si>
  <si>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</si>
  <si>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</si>
  <si>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</si>
  <si>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</si>
  <si>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</si>
  <si>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</si>
  <si>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</si>
  <si>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</si>
  <si>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</si>
  <si>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</si>
  <si>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</si>
  <si>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</si>
  <si>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</si>
  <si>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</si>
  <si>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</si>
  <si>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</si>
  <si>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</si>
  <si>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</si>
  <si>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</si>
  <si>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</si>
  <si>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</si>
  <si>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</si>
  <si>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</si>
  <si>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</si>
  <si>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</si>
  <si>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</si>
  <si>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</si>
  <si>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</si>
  <si>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</si>
  <si>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</si>
  <si>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</si>
  <si>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</si>
  <si>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</si>
  <si>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</si>
  <si>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</si>
  <si>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</si>
  <si>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</si>
  <si>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</si>
  <si>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</si>
  <si>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</si>
  <si>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</si>
  <si>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</si>
  <si>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</si>
  <si>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</si>
  <si>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</si>
  <si>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</si>
  <si>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</si>
  <si>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</si>
  <si>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</si>
  <si>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</si>
  <si>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</si>
  <si>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</si>
  <si>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</si>
  <si>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</si>
  <si>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</si>
  <si>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</si>
  <si>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</si>
  <si>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</si>
  <si>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</si>
  <si>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</si>
  <si>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</si>
  <si>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</si>
  <si>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</si>
  <si>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</si>
  <si>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</si>
  <si>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</si>
  <si>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</si>
  <si>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</si>
  <si>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</si>
  <si>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</si>
  <si>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</si>
  <si>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</si>
  <si>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</si>
  <si>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</si>
  <si>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</si>
  <si>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</si>
  <si>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</si>
  <si>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</si>
  <si>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</si>
  <si>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</si>
  <si>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</si>
  <si>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</si>
  <si>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</si>
  <si>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</si>
  <si>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</si>
  <si>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</si>
  <si>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</si>
  <si>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</si>
  <si>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</si>
  <si>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</si>
  <si>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</si>
  <si>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</si>
  <si>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</si>
  <si>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</si>
  <si>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</si>
  <si>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</si>
  <si>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</si>
  <si>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</si>
  <si>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</si>
  <si>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</si>
  <si>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</si>
  <si>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</si>
  <si>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</si>
  <si>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</si>
  <si>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</si>
  <si>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</si>
  <si>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</si>
  <si>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</si>
  <si>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</si>
  <si>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</si>
  <si>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</si>
  <si>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</si>
  <si>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</si>
  <si>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</si>
  <si>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</si>
  <si>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</si>
  <si>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</si>
  <si>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</si>
  <si>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</si>
  <si>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</si>
  <si>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</si>
  <si>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</si>
  <si>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</si>
  <si>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</si>
  <si>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</si>
  <si>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</si>
  <si>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</si>
  <si>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</si>
  <si>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</si>
  <si>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</si>
  <si>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</si>
  <si>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</si>
  <si>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</si>
  <si>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</si>
  <si>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</si>
  <si>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</si>
  <si>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</si>
  <si>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</si>
  <si>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</si>
  <si>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</si>
  <si>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</si>
  <si>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</si>
  <si>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</si>
  <si>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</si>
  <si>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</si>
  <si>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</si>
  <si>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</si>
  <si>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</si>
  <si>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</si>
  <si>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</si>
  <si>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</si>
  <si>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</si>
  <si>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</si>
  <si>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</si>
  <si>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</si>
  <si>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</si>
  <si>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</si>
  <si>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</si>
  <si>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</si>
  <si>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</si>
  <si>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</si>
  <si>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</si>
  <si>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</si>
  <si>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</si>
  <si>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</si>
  <si>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</si>
  <si>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</si>
  <si>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</si>
  <si>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</si>
  <si>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</si>
  <si>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</si>
  <si>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</si>
  <si>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</si>
  <si>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</si>
  <si>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</si>
  <si>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</si>
  <si>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</si>
  <si>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</si>
  <si>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</si>
  <si>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</si>
  <si>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</si>
  <si>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</si>
  <si>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</si>
  <si>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</si>
  <si>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</si>
  <si>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</si>
  <si>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</si>
  <si>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</si>
  <si>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</si>
  <si>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</si>
  <si>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</si>
  <si>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</si>
  <si>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</si>
  <si>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</si>
  <si>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</si>
  <si>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</si>
  <si>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</si>
  <si>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</si>
  <si>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</si>
  <si>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</si>
  <si>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</si>
  <si>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</si>
  <si>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</si>
  <si>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</si>
  <si>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</si>
  <si>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</si>
  <si>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</si>
  <si>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</si>
  <si>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</si>
  <si>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</si>
  <si>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</si>
  <si>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</si>
  <si>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</si>
  <si>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</si>
  <si>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</si>
  <si>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</si>
  <si>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</si>
  <si>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</si>
  <si>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</si>
  <si>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</si>
  <si>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</si>
  <si>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</si>
  <si>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</si>
  <si>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</si>
  <si>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</si>
  <si>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</si>
  <si>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</si>
  <si>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</si>
  <si>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</si>
  <si>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</si>
  <si>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</si>
  <si>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</si>
  <si>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</si>
  <si>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</si>
  <si>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</si>
  <si>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</si>
  <si>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</si>
  <si>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</si>
  <si>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</si>
  <si>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</si>
  <si>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</si>
  <si>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</si>
  <si>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</si>
  <si>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</si>
  <si>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</si>
  <si>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</si>
  <si>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</si>
  <si>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</si>
  <si>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</si>
  <si>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</si>
  <si>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</si>
  <si>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</si>
  <si>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</si>
  <si>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</si>
  <si>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</si>
  <si>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</si>
  <si>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</si>
  <si>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</si>
  <si>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</si>
  <si>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</si>
  <si>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</si>
  <si>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</si>
  <si>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</si>
  <si>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</si>
  <si>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</si>
  <si>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</si>
  <si>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</si>
  <si>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</si>
  <si>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</si>
  <si>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</si>
  <si>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</si>
  <si>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</si>
  <si>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</si>
  <si>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</si>
  <si>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</si>
  <si>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</si>
  <si>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</si>
  <si>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</si>
  <si>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</si>
  <si>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</si>
  <si>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</si>
  <si>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</si>
  <si>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</si>
  <si>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</si>
  <si>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</si>
  <si>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</si>
  <si>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</si>
  <si>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</si>
  <si>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</si>
  <si>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</si>
  <si>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</si>
  <si>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</si>
  <si>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</si>
  <si>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</si>
  <si>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</si>
  <si>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</si>
  <si>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</si>
  <si>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</si>
  <si>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</si>
  <si>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</si>
  <si>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</si>
  <si>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</si>
  <si>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</si>
  <si>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</si>
  <si>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</si>
  <si>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</si>
  <si>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</si>
  <si>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</si>
  <si>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</si>
  <si>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</si>
  <si>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</si>
  <si>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</si>
  <si>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</si>
  <si>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</si>
  <si>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</si>
  <si>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</si>
  <si>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</si>
  <si>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</si>
  <si>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</si>
  <si>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</si>
  <si>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</si>
  <si>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</si>
  <si>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</si>
  <si>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</si>
  <si>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</si>
  <si>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</si>
  <si>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</si>
  <si>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</si>
  <si>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</si>
  <si>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</si>
  <si>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</si>
  <si>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</si>
  <si>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</si>
  <si>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</si>
  <si>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</si>
  <si>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</si>
  <si>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</si>
  <si>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</si>
  <si>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</si>
  <si>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</si>
  <si>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</si>
  <si>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</si>
  <si>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</si>
  <si>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</si>
  <si>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</si>
  <si>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</si>
  <si>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</si>
  <si>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</si>
  <si>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</si>
  <si>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</si>
  <si>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</si>
  <si>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</si>
  <si>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</si>
  <si>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</si>
  <si>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</si>
  <si>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</si>
  <si>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</si>
  <si>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</si>
  <si>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</si>
  <si>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</si>
  <si>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</si>
  <si>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</si>
  <si>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</si>
  <si>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</si>
  <si>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</si>
  <si>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</si>
  <si>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</si>
  <si>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</si>
  <si>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</si>
  <si>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</si>
  <si>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</si>
  <si>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</si>
  <si>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</si>
  <si>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</si>
  <si>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</si>
  <si>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</si>
  <si>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</si>
  <si>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</si>
  <si>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</si>
  <si>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</si>
  <si>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</si>
  <si>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</si>
  <si>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</si>
  <si>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</si>
  <si>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</si>
  <si>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</si>
  <si>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</si>
  <si>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</si>
  <si>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</si>
  <si>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</si>
  <si>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</si>
  <si>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</si>
  <si>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</si>
  <si>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</si>
  <si>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</si>
  <si>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</si>
  <si>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</si>
  <si>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</si>
  <si>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</si>
  <si>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</si>
  <si>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</si>
  <si>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</si>
  <si>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</si>
  <si>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</si>
  <si>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</si>
  <si>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</si>
  <si>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</si>
  <si>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</si>
  <si>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</si>
  <si>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</si>
  <si>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</si>
  <si>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</si>
  <si>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</si>
  <si>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</si>
  <si>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</si>
  <si>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</si>
  <si>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</si>
  <si>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</si>
  <si>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</si>
  <si>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</si>
  <si>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</si>
  <si>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</si>
  <si>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</si>
  <si>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</si>
  <si>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</si>
  <si>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</si>
  <si>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</si>
  <si>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</si>
  <si>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</si>
  <si>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</si>
  <si>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</si>
  <si>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</si>
  <si>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</si>
  <si>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</si>
  <si>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</si>
  <si>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</si>
  <si>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</si>
  <si>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</si>
  <si>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</si>
  <si>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</si>
  <si>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</si>
  <si>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</si>
  <si>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</si>
  <si>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</si>
  <si>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</si>
  <si>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</si>
  <si>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</si>
  <si>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</si>
  <si>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</si>
  <si>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</si>
  <si>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</si>
  <si>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</si>
  <si>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</si>
  <si>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</si>
  <si>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</si>
  <si>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</si>
  <si>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</si>
  <si>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</si>
  <si>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</si>
  <si>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</si>
  <si>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</si>
  <si>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</si>
  <si>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</si>
  <si>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</si>
  <si>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</si>
  <si>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</si>
  <si>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</si>
  <si>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</si>
  <si>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</si>
  <si>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</si>
  <si>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</si>
  <si>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</si>
  <si>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</si>
  <si>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</si>
  <si>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</si>
  <si>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</si>
  <si>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</si>
  <si>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</si>
  <si>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</si>
  <si>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</si>
  <si>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</si>
  <si>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</si>
  <si>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</si>
  <si>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</si>
  <si>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</si>
  <si>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</si>
  <si>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</si>
  <si>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</si>
  <si>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</si>
  <si>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</si>
  <si>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</si>
  <si>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</si>
  <si>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</si>
  <si>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</si>
  <si>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</si>
  <si>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</si>
  <si>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</si>
  <si>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</si>
  <si>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</si>
  <si>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</si>
  <si>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</si>
  <si>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</si>
  <si>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</si>
  <si>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</si>
  <si>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</si>
  <si>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</si>
  <si>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</si>
  <si>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</si>
  <si>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</si>
  <si>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</si>
  <si>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</si>
  <si>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</si>
  <si>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</si>
  <si>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</si>
  <si>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</si>
  <si>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</si>
  <si>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</si>
  <si>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</si>
  <si>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</si>
  <si>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</si>
  <si>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</si>
  <si>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</si>
  <si>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</si>
  <si>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</si>
  <si>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</si>
  <si>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</si>
  <si>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</si>
  <si>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</si>
  <si>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</si>
  <si>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</si>
  <si>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</si>
  <si>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</si>
  <si>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</si>
  <si>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</si>
  <si>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</si>
  <si>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</si>
  <si>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</si>
  <si>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</si>
  <si>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</si>
  <si>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</si>
  <si>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</si>
  <si>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</si>
  <si>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</si>
  <si>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</si>
  <si>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</si>
  <si>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</si>
  <si>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</si>
  <si>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</si>
  <si>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</si>
  <si>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</si>
  <si>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</si>
  <si>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</si>
  <si>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</si>
  <si>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</si>
  <si>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</si>
  <si>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</si>
  <si>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</si>
  <si>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</si>
  <si>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</si>
  <si>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</si>
  <si>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</si>
  <si>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</si>
  <si>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</si>
  <si>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</si>
  <si>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</si>
  <si>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</si>
  <si>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</si>
  <si>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</si>
  <si>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</si>
  <si>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</si>
  <si>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</si>
  <si>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</si>
  <si>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</si>
  <si>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</si>
  <si>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</si>
  <si>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</si>
  <si>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</si>
  <si>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</si>
  <si>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</si>
  <si>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</si>
  <si>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</si>
  <si>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</si>
  <si>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</si>
  <si>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</si>
  <si>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</si>
  <si>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</si>
  <si>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</si>
  <si>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</si>
  <si>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</si>
  <si>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</si>
  <si>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</si>
  <si>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</si>
  <si>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</si>
  <si>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</si>
  <si>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</si>
  <si>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</si>
  <si>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</si>
  <si>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</si>
  <si>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</si>
  <si>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</si>
  <si>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</si>
  <si>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</si>
  <si>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</si>
  <si>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</si>
  <si>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</si>
  <si>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</si>
  <si>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</si>
  <si>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</si>
  <si>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</si>
  <si>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</si>
  <si>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</si>
  <si>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</si>
  <si>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</si>
  <si>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</si>
  <si>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</si>
  <si>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</si>
  <si>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</si>
  <si>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</si>
  <si>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</si>
  <si>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</si>
  <si>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</si>
  <si>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</si>
  <si>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</si>
  <si>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</si>
  <si>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</si>
  <si>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</si>
  <si>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</si>
  <si>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</si>
  <si>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</si>
  <si>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</si>
  <si>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</si>
  <si>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</si>
  <si>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</si>
  <si>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</si>
  <si>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</si>
  <si>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</si>
  <si>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</si>
  <si>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</si>
  <si>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</si>
  <si>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</si>
  <si>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</si>
  <si>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</si>
  <si>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</si>
  <si>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</si>
  <si>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</si>
  <si>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</si>
  <si>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</si>
  <si>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</si>
  <si>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</si>
  <si>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</si>
  <si>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</si>
  <si>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</si>
  <si>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</si>
  <si>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</si>
  <si>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</si>
  <si>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</si>
  <si>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</si>
  <si>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</si>
  <si>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</si>
  <si>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</si>
  <si>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</si>
  <si>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</si>
  <si>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</si>
  <si>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</si>
  <si>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</si>
  <si>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</si>
  <si>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</si>
  <si>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</si>
  <si>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</si>
  <si>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</si>
  <si>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</si>
  <si>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</si>
  <si>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</si>
  <si>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</si>
  <si>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</si>
  <si>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</si>
  <si>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</si>
  <si>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</si>
  <si>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</si>
  <si>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</si>
  <si>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</si>
  <si>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</si>
  <si>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</si>
  <si>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</si>
  <si>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</si>
  <si>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</si>
  <si>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</si>
  <si>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</si>
  <si>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</si>
  <si>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</si>
  <si>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</si>
  <si>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</si>
  <si>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</si>
  <si>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</si>
  <si>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</si>
  <si>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</si>
  <si>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</si>
  <si>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</si>
  <si>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</si>
  <si>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</si>
  <si>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</si>
  <si>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</si>
  <si>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</si>
  <si>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</si>
  <si>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</si>
  <si>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</si>
  <si>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</si>
  <si>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</si>
  <si>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</si>
  <si>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</si>
  <si>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</si>
  <si>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</si>
  <si>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</si>
  <si>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</si>
  <si>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</si>
  <si>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</si>
  <si>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</si>
  <si>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</si>
  <si>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</si>
  <si>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</si>
  <si>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</si>
  <si>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</si>
  <si>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</si>
  <si>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</si>
  <si>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</si>
  <si>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</si>
  <si>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</si>
  <si>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</si>
  <si>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</si>
  <si>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</si>
  <si>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</si>
  <si>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</si>
  <si>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</si>
  <si>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</si>
  <si>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</si>
  <si>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</si>
  <si>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</si>
  <si>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</si>
  <si>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</si>
  <si>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</si>
  <si>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</si>
  <si>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</si>
  <si>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</si>
  <si>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</si>
  <si>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</si>
  <si>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</si>
  <si>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</si>
  <si>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</si>
  <si>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</si>
  <si>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</si>
  <si>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</si>
  <si>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</si>
  <si>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</si>
  <si>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</si>
  <si>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</si>
  <si>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</si>
  <si>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</si>
  <si>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</si>
  <si>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</si>
  <si>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</si>
  <si>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</si>
  <si>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</si>
  <si>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</si>
  <si>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</si>
  <si>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</si>
  <si>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</si>
  <si>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</si>
  <si>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</si>
  <si>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</si>
  <si>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</si>
  <si>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</si>
  <si>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</si>
  <si>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</si>
  <si>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</si>
  <si>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</si>
  <si>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</si>
  <si>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</si>
  <si>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</si>
  <si>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</si>
  <si>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</si>
  <si>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</si>
  <si>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</si>
  <si>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</si>
  <si>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</si>
  <si>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</si>
  <si>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</si>
  <si>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</si>
  <si>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</si>
  <si>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</si>
  <si>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</si>
  <si>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</si>
  <si>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</si>
  <si>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</si>
  <si>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</si>
  <si>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</si>
  <si>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</si>
  <si>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</si>
  <si>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</si>
  <si>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</si>
  <si>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</si>
  <si>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</si>
  <si>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</si>
  <si>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</si>
  <si>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</si>
  <si>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</si>
  <si>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</si>
  <si>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</si>
  <si>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</si>
  <si>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</si>
  <si>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</si>
  <si>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</si>
  <si>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</si>
  <si>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</si>
  <si>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</si>
  <si>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</si>
  <si>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</si>
  <si>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</si>
  <si>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</si>
  <si>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</si>
  <si>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</si>
  <si>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</si>
  <si>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</si>
  <si>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</si>
  <si>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</si>
  <si>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</si>
  <si>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</si>
  <si>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</si>
  <si>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</si>
  <si>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</si>
  <si>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</si>
  <si>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</si>
  <si>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</si>
  <si>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</si>
  <si>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</si>
  <si>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</si>
  <si>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</si>
  <si>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</si>
  <si>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</si>
  <si>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</si>
  <si>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</si>
  <si>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</si>
  <si>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</si>
  <si>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</si>
  <si>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</si>
  <si>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</si>
  <si>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</si>
  <si>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</si>
  <si>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</si>
  <si>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</si>
  <si>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</si>
  <si>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</si>
  <si>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</si>
  <si>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</si>
  <si>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</si>
  <si>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</si>
  <si>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</si>
  <si>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</si>
  <si>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</si>
  <si>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</si>
  <si>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</si>
  <si>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</si>
  <si>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</si>
  <si>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</si>
  <si>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</si>
  <si>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</si>
  <si>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</si>
  <si>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</si>
  <si>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</si>
  <si>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</si>
  <si>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</si>
  <si>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</si>
  <si>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</si>
  <si>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</si>
  <si>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</si>
  <si>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</si>
  <si>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</si>
  <si>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</si>
  <si>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</si>
  <si>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</si>
  <si>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</si>
  <si>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</si>
  <si>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</si>
  <si>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</si>
  <si>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</si>
  <si>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</si>
  <si>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</si>
  <si>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</si>
  <si>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</si>
  <si>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</si>
  <si>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</si>
  <si>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</si>
  <si>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</si>
  <si>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</si>
  <si>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</si>
  <si>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</si>
  <si>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</si>
  <si>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</si>
  <si>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</si>
  <si>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</si>
  <si>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</si>
  <si>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</si>
  <si>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</si>
  <si>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</si>
  <si>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</si>
  <si>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</si>
  <si>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</si>
  <si>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</si>
  <si>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</si>
  <si>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</si>
  <si>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</si>
  <si>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</si>
  <si>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</si>
  <si>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</si>
  <si>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</si>
  <si>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</si>
  <si>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</si>
  <si>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</si>
  <si>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</si>
  <si>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</si>
  <si>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</si>
  <si>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</si>
  <si>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</si>
  <si>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</si>
  <si>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</si>
  <si>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</si>
  <si>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</si>
  <si>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</si>
  <si>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</si>
  <si>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</si>
  <si>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</si>
  <si>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</si>
  <si>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</si>
  <si>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</si>
  <si>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</si>
  <si>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</si>
  <si>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</si>
  <si>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</si>
  <si>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</si>
  <si>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</si>
  <si>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</si>
  <si>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</si>
  <si>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</si>
  <si>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</si>
  <si>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</si>
  <si>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</si>
  <si>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</si>
  <si>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</si>
  <si>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</si>
  <si>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</si>
  <si>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</si>
  <si>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</si>
  <si>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</si>
  <si>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</si>
  <si>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</si>
  <si>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</si>
  <si>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</si>
  <si>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</si>
  <si>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</si>
  <si>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</si>
  <si>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</si>
  <si>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</si>
  <si>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</si>
  <si>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</si>
  <si>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</si>
  <si>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</si>
  <si>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</si>
  <si>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</si>
  <si>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</si>
  <si>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</si>
  <si>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</si>
  <si>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</si>
  <si>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</si>
  <si>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</si>
  <si>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</si>
  <si>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</si>
  <si>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</si>
  <si>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</si>
  <si>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</si>
  <si>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</si>
  <si>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</si>
  <si>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</si>
  <si>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</si>
  <si>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</si>
  <si>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</si>
  <si>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</si>
  <si>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</si>
  <si>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</si>
  <si>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</si>
  <si>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</si>
  <si>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</si>
  <si>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</si>
  <si>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</si>
  <si>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</si>
  <si>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</si>
  <si>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</si>
  <si>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</si>
  <si>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</si>
  <si>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</si>
  <si>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</si>
  <si>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</si>
  <si>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</si>
  <si>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</si>
  <si>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</si>
  <si>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</si>
  <si>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</si>
  <si>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</si>
  <si>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</si>
  <si>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</si>
  <si>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</si>
  <si>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</si>
  <si>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</si>
  <si>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</si>
  <si>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</si>
  <si>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</si>
  <si>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</si>
  <si>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</si>
  <si>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</si>
  <si>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</si>
  <si>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</si>
  <si>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</si>
  <si>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</si>
  <si>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</si>
  <si>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</si>
  <si>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</si>
  <si>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</si>
  <si>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</si>
  <si>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</si>
  <si>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</si>
  <si>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</si>
  <si>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</si>
  <si>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</si>
  <si>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</si>
  <si>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</si>
  <si>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</si>
  <si>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</si>
  <si>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</si>
  <si>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</si>
  <si>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</si>
  <si>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</si>
  <si>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</si>
  <si>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</si>
  <si>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</si>
  <si>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</si>
  <si>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</si>
  <si>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</si>
  <si>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</si>
  <si>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</si>
  <si>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</si>
  <si>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</si>
  <si>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</si>
  <si>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</si>
  <si>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</si>
  <si>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</si>
  <si>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</si>
  <si>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</si>
  <si>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</si>
  <si>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</si>
  <si>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</si>
  <si>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</si>
  <si>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</si>
  <si>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</si>
  <si>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</si>
  <si>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</si>
  <si>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</si>
  <si>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</si>
  <si>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</si>
  <si>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</si>
  <si>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</si>
  <si>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</si>
  <si>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</si>
  <si>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</si>
  <si>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</si>
  <si>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</si>
  <si>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</si>
  <si>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</si>
  <si>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</si>
  <si>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</si>
  <si>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</si>
  <si>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</si>
  <si>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</si>
  <si>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</si>
  <si>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</si>
  <si>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</si>
  <si>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</si>
  <si>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</si>
  <si>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</si>
  <si>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</si>
  <si>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</si>
  <si>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</si>
  <si>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</si>
  <si>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</si>
  <si>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</si>
  <si>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</si>
  <si>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</si>
  <si>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</si>
  <si>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</si>
  <si>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</si>
  <si>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</si>
  <si>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</si>
  <si>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</si>
  <si>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</si>
  <si>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</si>
  <si>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</si>
  <si>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</si>
  <si>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</si>
  <si>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</si>
  <si>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</si>
  <si>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</si>
  <si>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</si>
  <si>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</si>
  <si>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</si>
  <si>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</si>
  <si>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</si>
  <si>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</si>
  <si>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</si>
  <si>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</si>
  <si>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</si>
  <si>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</si>
  <si>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</si>
  <si>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</si>
  <si>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</si>
  <si>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</si>
  <si>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</si>
  <si>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</si>
  <si>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</si>
  <si>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</si>
  <si>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</si>
  <si>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</si>
  <si>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</si>
  <si>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</si>
  <si>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</si>
  <si>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</si>
  <si>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</si>
  <si>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</si>
  <si>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</si>
  <si>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</si>
  <si>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</si>
  <si>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</si>
  <si>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</si>
  <si>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</si>
  <si>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</si>
  <si>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</si>
  <si>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</si>
  <si>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</si>
  <si>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</si>
  <si>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</si>
  <si>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</si>
  <si>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</si>
  <si>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</si>
  <si>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</si>
  <si>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</si>
  <si>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</si>
  <si>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</si>
  <si>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</si>
  <si>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</si>
  <si>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</si>
  <si>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</si>
  <si>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</si>
  <si>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</si>
  <si>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</si>
  <si>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</si>
  <si>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</si>
  <si>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</si>
  <si>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</si>
  <si>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</si>
  <si>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</si>
  <si>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</si>
  <si>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</si>
  <si>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</si>
  <si>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</si>
  <si>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</si>
  <si>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</si>
  <si>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</si>
  <si>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</si>
  <si>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</si>
  <si>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</si>
  <si>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</si>
  <si>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</si>
  <si>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</si>
  <si>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</si>
  <si>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</si>
  <si>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</si>
  <si>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</si>
  <si>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</si>
  <si>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</si>
  <si>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</si>
  <si>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</si>
  <si>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</si>
  <si>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</si>
  <si>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</si>
  <si>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</si>
  <si>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</si>
  <si>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</si>
  <si>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</si>
  <si>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</si>
  <si>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</si>
  <si>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</si>
  <si>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</si>
  <si>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</si>
  <si>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</si>
  <si>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</si>
  <si>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</si>
  <si>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</si>
  <si>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</si>
  <si>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</si>
  <si>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</si>
  <si>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</si>
  <si>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</si>
  <si>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</si>
  <si>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</si>
  <si>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</si>
  <si>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</si>
  <si>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</si>
  <si>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</si>
  <si>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</si>
  <si>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</si>
  <si>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</si>
  <si>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</si>
  <si>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</si>
  <si>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</si>
  <si>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</si>
  <si>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</si>
  <si>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</si>
  <si>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</si>
  <si>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</si>
  <si>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</si>
  <si>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</si>
  <si>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</si>
  <si>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</si>
  <si>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</si>
  <si>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</si>
  <si>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</si>
  <si>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</si>
  <si>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</si>
  <si>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</si>
  <si>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</si>
  <si>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</si>
  <si>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</si>
  <si>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</si>
  <si>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</si>
  <si>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</si>
  <si>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</si>
  <si>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</si>
  <si>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</si>
  <si>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</si>
  <si>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</si>
  <si>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</si>
  <si>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</si>
  <si>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</si>
  <si>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</si>
  <si>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</si>
  <si>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</si>
  <si>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</si>
  <si>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</si>
  <si>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Count of Employee Count</t>
  </si>
  <si>
    <t xml:space="preserve">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</si>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</sst>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2" fillId="0" borderId="0" applyFont="0" applyFill="0" applyBorder="0" applyAlignment="0" applyProtection="0"/>
  </cellStyleXfs>
  <cellXfs count="26">
    <xf numFmtId="0" fontId="0" fillId="0" borderId="0" xfId="0" applyFont="1" applyAlignment="1"/>
    <xf numFmtId="0" fontId="1" fillId="0" borderId="0" xfId="0" applyFont="1"/>
    <xf numFmtId="0" fontId="0" fillId="0" borderId="1" xfId="0" applyFont="1" applyBorder="1" applyAlignment="1"/>
    <xf numFmtId="0" fontId="0" fillId="0" borderId="3" xfId="0" applyFont="1" applyBorder="1" applyAlignment="1"/>
    <xf numFmtId="0" fontId="0" fillId="0" borderId="2" xfId="0" applyNumberFormat="1"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1" fillId="0" borderId="0" xfId="0" applyFont="1" applyAlignment="1"/>
    <xf numFmtId="10" fontId="0" fillId="0" borderId="0" xfId="1" applyNumberFormat="1" applyFont="1" applyAlignment="1"/>
    <xf numFmtId="1" fontId="0" fillId="0" borderId="0" xfId="0" applyNumberFormat="1" applyFont="1" applyAlignment="1"/>
    <xf numFmtId="0" fontId="0" fillId="2" borderId="0" xfId="0" applyFont="1" applyFill="1" applyAlignment="1"/>
    <xf numFmtId="0" fontId="0" fillId="0" borderId="7" xfId="0" applyFont="1" applyBorder="1" applyAlignment="1"/>
    <xf numFmtId="164" fontId="0" fillId="0" borderId="8" xfId="0" applyNumberFormat="1" applyFont="1" applyBorder="1" applyAlignment="1"/>
    <xf numFmtId="164" fontId="0" fillId="0" borderId="0" xfId="0" applyNumberFormat="1" applyFont="1" applyAlignment="1"/>
    <xf numFmtId="0" fontId="0" fillId="0" borderId="1" xfId="0" pivotButton="1" applyFont="1" applyBorder="1" applyAlignment="1"/>
    <xf numFmtId="0" fontId="0" fillId="0" borderId="1" xfId="0" applyFont="1" applyBorder="1" applyAlignment="1">
      <alignment horizontal="left"/>
    </xf>
    <xf numFmtId="0" fontId="0" fillId="0" borderId="7" xfId="0" applyNumberFormat="1" applyFont="1" applyBorder="1" applyAlignment="1"/>
    <xf numFmtId="0" fontId="0" fillId="0" borderId="9" xfId="0" applyFont="1" applyBorder="1" applyAlignment="1">
      <alignment horizontal="left"/>
    </xf>
    <xf numFmtId="0" fontId="0" fillId="0" borderId="10" xfId="0" applyNumberFormat="1" applyFont="1" applyBorder="1" applyAlignment="1"/>
    <xf numFmtId="0" fontId="0" fillId="0" borderId="2" xfId="0" applyFont="1" applyBorder="1" applyAlignment="1">
      <alignment horizontal="left"/>
    </xf>
    <xf numFmtId="0" fontId="0" fillId="0" borderId="8" xfId="0" applyNumberFormat="1" applyFont="1" applyBorder="1" applyAlignment="1"/>
    <xf numFmtId="0" fontId="0" fillId="0" borderId="0" xfId="0" applyFont="1" applyFill="1" applyBorder="1" applyAlignment="1">
      <alignment horizontal="left"/>
    </xf>
    <xf numFmtId="9" fontId="0" fillId="0" borderId="0" xfId="1" applyFont="1" applyAlignment="1"/>
    <xf numFmtId="10" fontId="0" fillId="0" borderId="7" xfId="0" applyNumberFormat="1" applyFont="1" applyBorder="1" applyAlignment="1"/>
    <xf numFmtId="10" fontId="0" fillId="0" borderId="8" xfId="0" applyNumberFormat="1" applyFont="1" applyBorder="1" applyAlignment="1"/>
  </cellXfs>
  <cellStyles count="2">
    <cellStyle name="Normal" xfId="0" builtinId="0"/>
    <cellStyle name="Percent" xfId="1" builtinId="5"/>
  </cellStyles>
  <dxfs count="11">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10"/>
      <tableStyleElement type="firstRowStripe" dxfId="9"/>
      <tableStyleElement type="secondRowStripe" dxfId="8"/>
    </tableStyle>
  </tableStyles>
  <colors>
    <mruColors>
      <color rgb="FFDF81C0"/>
      <color rgb="FFBD1DB5"/>
      <color rgb="FF6029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18568665377175"/>
          <c:y val="4.5248868778280542E-2"/>
          <c:w val="0.28562217923920052"/>
          <c:h val="0.66817496229260931"/>
        </c:manualLayout>
      </c:layout>
      <c:doughnutChart>
        <c:varyColors val="0"/>
        <c:ser>
          <c:idx val="0"/>
          <c:order val="0"/>
          <c:spPr>
            <a:solidFill>
              <a:schemeClr val="accent1"/>
            </a:solidFill>
            <a:ln w="19050">
              <a:solidFill>
                <a:schemeClr val="lt1"/>
              </a:solidFill>
            </a:ln>
            <a:effectLst/>
          </c:spPr>
          <c:dPt>
            <c:idx val="0"/>
            <c:bubble3D val="0"/>
            <c:extLst>
              <c:ext xmlns:c16="http://schemas.microsoft.com/office/drawing/2014/chart" uri="{C3380CC4-5D6E-409C-BE32-E72D297353CC}">
                <c16:uniqueId val="{00000001-21C9-444F-821F-B2063A5ABE0C}"/>
              </c:ext>
            </c:extLst>
          </c:dPt>
          <c:dPt>
            <c:idx val="1"/>
            <c:bubble3D val="0"/>
            <c:spPr>
              <a:solidFill>
                <a:schemeClr val="accent1"/>
              </a:solidFill>
              <a:ln w="19050">
                <a:gradFill>
                  <a:gsLst>
                    <a:gs pos="0">
                      <a:schemeClr val="accent1">
                        <a:lumMod val="5000"/>
                        <a:lumOff val="95000"/>
                      </a:schemeClr>
                    </a:gs>
                    <a:gs pos="74000">
                      <a:schemeClr val="bg1">
                        <a:lumMod val="8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21C9-444F-821F-B2063A5ABE0C}"/>
              </c:ext>
            </c:extLst>
          </c:dPt>
          <c:val>
            <c:numRef>
              <c:f>Rating!$C$6:$C$7</c:f>
              <c:numCache>
                <c:formatCode>General</c:formatCode>
                <c:ptCount val="2"/>
                <c:pt idx="0">
                  <c:v>0.78977272727272729</c:v>
                </c:pt>
                <c:pt idx="1">
                  <c:v>0.21022727272727271</c:v>
                </c:pt>
              </c:numCache>
            </c:numRef>
          </c:val>
          <c:extLst>
            <c:ext xmlns:c16="http://schemas.microsoft.com/office/drawing/2014/chart" uri="{C3380CC4-5D6E-409C-BE32-E72D297353CC}">
              <c16:uniqueId val="{00000004-21C9-444F-821F-B2063A5ABE0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51027498842624"/>
          <c:y val="0.15454547156494372"/>
          <c:w val="0.72897852597184787"/>
          <c:h val="0.738461509659326"/>
        </c:manualLayout>
      </c:layout>
      <c:doughnutChart>
        <c:varyColors val="1"/>
        <c:ser>
          <c:idx val="0"/>
          <c:order val="0"/>
          <c:spPr>
            <a:ln>
              <a:noFill/>
            </a:ln>
          </c:spPr>
          <c:dPt>
            <c:idx val="0"/>
            <c:bubble3D val="0"/>
            <c:spPr>
              <a:gradFill>
                <a:gsLst>
                  <a:gs pos="0">
                    <a:srgbClr val="BD1DB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gradFill>
                  <a:gsLst>
                    <a:gs pos="65313">
                      <a:srgbClr val="B4C7E7"/>
                    </a:gs>
                    <a:gs pos="51726">
                      <a:srgbClr val="C2D1EB"/>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3788-478C-9F7B-8D394C400E8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788-478C-9F7B-8D394C400E8D}"/>
              </c:ext>
            </c:extLst>
          </c:dPt>
          <c:val>
            <c:numRef>
              <c:f>Gender!$C$9:$C$10</c:f>
              <c:numCache>
                <c:formatCode>0%</c:formatCode>
                <c:ptCount val="2"/>
                <c:pt idx="0">
                  <c:v>0.40909090909090912</c:v>
                </c:pt>
                <c:pt idx="1">
                  <c:v>0.59090909090909094</c:v>
                </c:pt>
              </c:numCache>
            </c:numRef>
          </c:val>
          <c:extLst>
            <c:ext xmlns:c16="http://schemas.microsoft.com/office/drawing/2014/chart" uri="{C3380CC4-5D6E-409C-BE32-E72D297353CC}">
              <c16:uniqueId val="{00000004-3788-478C-9F7B-8D394C400E8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77482348310048"/>
          <c:y val="0.16643358476224709"/>
          <c:w val="0.72897852597184787"/>
          <c:h val="0.738461509659326"/>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A87F-4D57-A868-0E9E955E5EB1}"/>
              </c:ext>
            </c:extLst>
          </c:dPt>
          <c:dPt>
            <c:idx val="1"/>
            <c:bubble3D val="0"/>
            <c:spPr>
              <a:gradFill>
                <a:gsLst>
                  <a:gs pos="65313">
                    <a:schemeClr val="accent5">
                      <a:lumMod val="75000"/>
                    </a:schemeClr>
                  </a:gs>
                  <a:gs pos="51726">
                    <a:schemeClr val="accent5">
                      <a:lumMod val="75000"/>
                    </a:schemeClr>
                  </a:gs>
                  <a:gs pos="0">
                    <a:schemeClr val="accent1">
                      <a:lumMod val="5000"/>
                      <a:lumOff val="95000"/>
                    </a:schemeClr>
                  </a:gs>
                  <a:gs pos="74000">
                    <a:schemeClr val="accent1">
                      <a:lumMod val="45000"/>
                      <a:lumOff val="55000"/>
                    </a:schemeClr>
                  </a:gs>
                  <a:gs pos="83000">
                    <a:schemeClr val="accent5">
                      <a:lumMod val="75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3-A87F-4D57-A868-0E9E955E5EB1}"/>
              </c:ext>
            </c:extLst>
          </c:dPt>
          <c:val>
            <c:numRef>
              <c:f>Gender!$C$9:$C$10</c:f>
              <c:numCache>
                <c:formatCode>0%</c:formatCode>
                <c:ptCount val="2"/>
                <c:pt idx="0">
                  <c:v>0.40909090909090912</c:v>
                </c:pt>
                <c:pt idx="1">
                  <c:v>0.59090909090909094</c:v>
                </c:pt>
              </c:numCache>
            </c:numRef>
          </c:val>
          <c:extLst>
            <c:ext xmlns:c16="http://schemas.microsoft.com/office/drawing/2014/chart" uri="{C3380CC4-5D6E-409C-BE32-E72D297353CC}">
              <c16:uniqueId val="{00000004-A87F-4D57-A868-0E9E955E5EB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65313">
                <a:schemeClr val="accent6">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22362153119757"/>
          <c:y val="8.0395871344722925E-2"/>
          <c:w val="0.68336961476937685"/>
          <c:h val="0.86394557823129248"/>
        </c:manualLayout>
      </c:layout>
      <c:barChart>
        <c:barDir val="bar"/>
        <c:grouping val="clustered"/>
        <c:varyColors val="0"/>
        <c:ser>
          <c:idx val="0"/>
          <c:order val="0"/>
          <c:tx>
            <c:strRef>
              <c:f>'Education By Attrition'!$B$3</c:f>
              <c:strCache>
                <c:ptCount val="1"/>
                <c:pt idx="0">
                  <c:v>Total</c:v>
                </c:pt>
              </c:strCache>
            </c:strRef>
          </c:tx>
          <c:spPr>
            <a:gradFill>
              <a:gsLst>
                <a:gs pos="65313">
                  <a:schemeClr val="accent6">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Master's Degree</c:v>
                </c:pt>
                <c:pt idx="3">
                  <c:v>Bachelor's Degree</c:v>
                </c:pt>
                <c:pt idx="4">
                  <c:v>Associates Degree</c:v>
                </c:pt>
              </c:strCache>
            </c:strRef>
          </c:cat>
          <c:val>
            <c:numRef>
              <c:f>'Education By Attrition'!$B$4:$B$9</c:f>
              <c:numCache>
                <c:formatCode>General</c:formatCode>
                <c:ptCount val="5"/>
                <c:pt idx="0">
                  <c:v>0</c:v>
                </c:pt>
                <c:pt idx="1">
                  <c:v>1</c:v>
                </c:pt>
                <c:pt idx="2">
                  <c:v>3</c:v>
                </c:pt>
                <c:pt idx="3">
                  <c:v>4</c:v>
                </c:pt>
                <c:pt idx="4">
                  <c:v>6</c:v>
                </c:pt>
              </c:numCache>
            </c:numRef>
          </c:val>
          <c:extLst>
            <c:ext xmlns:c16="http://schemas.microsoft.com/office/drawing/2014/chart" uri="{C3380CC4-5D6E-409C-BE32-E72D297353CC}">
              <c16:uniqueId val="{00000000-BEEB-4BC7-82C5-B9BB05EDAD0B}"/>
            </c:ext>
          </c:extLst>
        </c:ser>
        <c:dLbls>
          <c:dLblPos val="outEnd"/>
          <c:showLegendKey val="0"/>
          <c:showVal val="1"/>
          <c:showCatName val="0"/>
          <c:showSerName val="0"/>
          <c:showPercent val="0"/>
          <c:showBubbleSize val="0"/>
        </c:dLbls>
        <c:gapWidth val="75"/>
        <c:axId val="293468512"/>
        <c:axId val="293471424"/>
      </c:barChart>
      <c:catAx>
        <c:axId val="293468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71424"/>
        <c:crosses val="autoZero"/>
        <c:auto val="1"/>
        <c:lblAlgn val="ctr"/>
        <c:lblOffset val="100"/>
        <c:noMultiLvlLbl val="0"/>
      </c:catAx>
      <c:valAx>
        <c:axId val="293471424"/>
        <c:scaling>
          <c:orientation val="minMax"/>
        </c:scaling>
        <c:delete val="1"/>
        <c:axPos val="b"/>
        <c:numFmt formatCode="General" sourceLinked="1"/>
        <c:majorTickMark val="out"/>
        <c:minorTickMark val="none"/>
        <c:tickLblPos val="nextTo"/>
        <c:crossAx val="29346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data.xlsx]Dept wise attrition!Deptt.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65313">
                <a:schemeClr val="accent6">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28000">
                <a:schemeClr val="accent5">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5">
                  <a:lumMod val="75000"/>
                </a:schemeClr>
              </a:gs>
              <a:gs pos="100000">
                <a:schemeClr val="accent1">
                  <a:lumMod val="30000"/>
                  <a:lumOff val="70000"/>
                </a:schemeClr>
              </a:gs>
            </a:gsLst>
            <a:lin ang="0" scaled="0"/>
          </a:gradFill>
          <a:ln w="19050">
            <a:solidFill>
              <a:schemeClr val="lt1"/>
            </a:solidFill>
          </a:ln>
          <a:effectLst/>
        </c:spPr>
      </c:pivotFmt>
      <c:pivotFmt>
        <c:idx val="7"/>
        <c:spPr>
          <a:gradFill>
            <a:gsLst>
              <a:gs pos="68000">
                <a:schemeClr val="accent5">
                  <a:lumMod val="75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a:ln w="19050">
            <a:solidFill>
              <a:schemeClr val="lt1"/>
            </a:solidFill>
          </a:ln>
          <a:effectLst/>
        </c:spPr>
      </c:pivotFmt>
      <c:pivotFmt>
        <c:idx val="8"/>
        <c:spPr>
          <a:gradFill>
            <a:gsLst>
              <a:gs pos="65313">
                <a:schemeClr val="accent5">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spPr>
            <a:gradFill>
              <a:gsLst>
                <a:gs pos="65313">
                  <a:schemeClr val="accent6">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c:spPr>
          <c:dPt>
            <c:idx val="0"/>
            <c:bubble3D val="0"/>
            <c:spPr>
              <a:gradFill>
                <a:gsLst>
                  <a:gs pos="65313">
                    <a:schemeClr val="accent5">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a:ln w="19050">
                <a:solidFill>
                  <a:schemeClr val="lt1"/>
                </a:solidFill>
              </a:ln>
              <a:effectLst/>
            </c:spPr>
            <c:extLst>
              <c:ext xmlns:c16="http://schemas.microsoft.com/office/drawing/2014/chart" uri="{C3380CC4-5D6E-409C-BE32-E72D297353CC}">
                <c16:uniqueId val="{00000001-7E4D-4F39-AD07-1E57987CD072}"/>
              </c:ext>
            </c:extLst>
          </c:dPt>
          <c:dPt>
            <c:idx val="1"/>
            <c:bubble3D val="0"/>
            <c:spPr>
              <a:gradFill>
                <a:gsLst>
                  <a:gs pos="65313">
                    <a:schemeClr val="accent6">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a:ln w="19050">
                <a:solidFill>
                  <a:schemeClr val="lt1"/>
                </a:solidFill>
              </a:ln>
              <a:effectLst/>
            </c:spPr>
            <c:extLst>
              <c:ext xmlns:c16="http://schemas.microsoft.com/office/drawing/2014/chart" uri="{C3380CC4-5D6E-409C-BE32-E72D297353CC}">
                <c16:uniqueId val="{00000003-7E4D-4F39-AD07-1E57987CD072}"/>
              </c:ext>
            </c:extLst>
          </c:dPt>
          <c:dPt>
            <c:idx val="2"/>
            <c:bubble3D val="0"/>
            <c:spPr>
              <a:gradFill>
                <a:gsLst>
                  <a:gs pos="65313">
                    <a:schemeClr val="accent6">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a:ln w="19050">
                <a:solidFill>
                  <a:schemeClr val="lt1"/>
                </a:solidFill>
              </a:ln>
              <a:effectLst/>
            </c:spPr>
            <c:extLst>
              <c:ext xmlns:c16="http://schemas.microsoft.com/office/drawing/2014/chart" uri="{C3380CC4-5D6E-409C-BE32-E72D297353CC}">
                <c16:uniqueId val="{00000005-7E4D-4F39-AD07-1E57987CD0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attrition'!$A$4:$A$5</c:f>
              <c:strCache>
                <c:ptCount val="1"/>
                <c:pt idx="0">
                  <c:v>Sales</c:v>
                </c:pt>
              </c:strCache>
            </c:strRef>
          </c:cat>
          <c:val>
            <c:numRef>
              <c:f>'Dept wise attrition'!$B$4:$B$5</c:f>
              <c:numCache>
                <c:formatCode>0.00%</c:formatCode>
                <c:ptCount val="1"/>
                <c:pt idx="0">
                  <c:v>1</c:v>
                </c:pt>
              </c:numCache>
            </c:numRef>
          </c:val>
          <c:extLst>
            <c:ext xmlns:c16="http://schemas.microsoft.com/office/drawing/2014/chart" uri="{C3380CC4-5D6E-409C-BE32-E72D297353CC}">
              <c16:uniqueId val="{00000006-7E4D-4F39-AD07-1E57987CD0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data.xlsx]Attrition By Age!Attrition By Age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5313">
                <a:schemeClr val="accent6">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gradFill>
              <a:gsLst>
                <a:gs pos="65313">
                  <a:schemeClr val="accent6">
                    <a:lumMod val="60000"/>
                    <a:lumOff val="40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6</c:v>
                </c:pt>
                <c:pt idx="1">
                  <c:v>3</c:v>
                </c:pt>
                <c:pt idx="2">
                  <c:v>2</c:v>
                </c:pt>
                <c:pt idx="3">
                  <c:v>2</c:v>
                </c:pt>
                <c:pt idx="4">
                  <c:v>1</c:v>
                </c:pt>
              </c:numCache>
            </c:numRef>
          </c:val>
          <c:extLst>
            <c:ext xmlns:c16="http://schemas.microsoft.com/office/drawing/2014/chart" uri="{C3380CC4-5D6E-409C-BE32-E72D297353CC}">
              <c16:uniqueId val="{00000000-7926-4E86-8FBF-A28303B9BB95}"/>
            </c:ext>
          </c:extLst>
        </c:ser>
        <c:dLbls>
          <c:dLblPos val="outEnd"/>
          <c:showLegendKey val="0"/>
          <c:showVal val="1"/>
          <c:showCatName val="0"/>
          <c:showSerName val="0"/>
          <c:showPercent val="0"/>
          <c:showBubbleSize val="0"/>
        </c:dLbls>
        <c:gapWidth val="219"/>
        <c:overlap val="-27"/>
        <c:axId val="293428576"/>
        <c:axId val="293428160"/>
      </c:barChart>
      <c:catAx>
        <c:axId val="29342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28160"/>
        <c:crosses val="autoZero"/>
        <c:auto val="1"/>
        <c:lblAlgn val="ctr"/>
        <c:lblOffset val="100"/>
        <c:noMultiLvlLbl val="0"/>
      </c:catAx>
      <c:valAx>
        <c:axId val="293428160"/>
        <c:scaling>
          <c:orientation val="minMax"/>
        </c:scaling>
        <c:delete val="1"/>
        <c:axPos val="l"/>
        <c:numFmt formatCode="General" sourceLinked="1"/>
        <c:majorTickMark val="out"/>
        <c:minorTickMark val="none"/>
        <c:tickLblPos val="nextTo"/>
        <c:crossAx val="29342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CC-4856-824E-C84CFE1434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CC-4856-824E-C84CFE1434E1}"/>
              </c:ext>
            </c:extLst>
          </c:dPt>
          <c:val>
            <c:numRef>
              <c:f>Rating!$C$6:$C$7</c:f>
              <c:numCache>
                <c:formatCode>General</c:formatCode>
                <c:ptCount val="2"/>
                <c:pt idx="0">
                  <c:v>0.78977272727272729</c:v>
                </c:pt>
                <c:pt idx="1">
                  <c:v>0.21022727272727271</c:v>
                </c:pt>
              </c:numCache>
            </c:numRef>
          </c:val>
          <c:extLst>
            <c:ext xmlns:c16="http://schemas.microsoft.com/office/drawing/2014/chart" uri="{C3380CC4-5D6E-409C-BE32-E72D297353CC}">
              <c16:uniqueId val="{00000000-DADE-4B1A-8B0E-89C23E9D270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026600864228201E-2"/>
          <c:y val="8.5607276618512571E-2"/>
          <c:w val="0.8690457218418971"/>
          <c:h val="0.81702371473228763"/>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3.1590909090909092</c:v>
                </c:pt>
              </c:numCache>
            </c:numRef>
          </c:val>
          <c:extLst>
            <c:ext xmlns:c16="http://schemas.microsoft.com/office/drawing/2014/chart" uri="{C3380CC4-5D6E-409C-BE32-E72D297353CC}">
              <c16:uniqueId val="{00000000-62FF-4203-88A9-6F291AA2E240}"/>
            </c:ext>
          </c:extLst>
        </c:ser>
        <c:ser>
          <c:idx val="1"/>
          <c:order val="1"/>
          <c:spPr>
            <a:solidFill>
              <a:schemeClr val="accent2"/>
            </a:solidFill>
            <a:ln>
              <a:noFill/>
            </a:ln>
            <a:effectLst/>
          </c:spPr>
          <c:invertIfNegative val="0"/>
          <c:val>
            <c:numRef>
              <c:f>Rating!$B$7</c:f>
              <c:numCache>
                <c:formatCode>0.0</c:formatCode>
                <c:ptCount val="1"/>
                <c:pt idx="0">
                  <c:v>0.84090909090909083</c:v>
                </c:pt>
              </c:numCache>
            </c:numRef>
          </c:val>
          <c:extLst>
            <c:ext xmlns:c16="http://schemas.microsoft.com/office/drawing/2014/chart" uri="{C3380CC4-5D6E-409C-BE32-E72D297353CC}">
              <c16:uniqueId val="{00000002-62FF-4203-88A9-6F291AA2E240}"/>
            </c:ext>
          </c:extLst>
        </c:ser>
        <c:dLbls>
          <c:showLegendKey val="0"/>
          <c:showVal val="0"/>
          <c:showCatName val="0"/>
          <c:showSerName val="0"/>
          <c:showPercent val="0"/>
          <c:showBubbleSize val="0"/>
        </c:dLbls>
        <c:gapWidth val="0"/>
        <c:overlap val="100"/>
        <c:axId val="1166630015"/>
        <c:axId val="1166607551"/>
      </c:barChart>
      <c:catAx>
        <c:axId val="1166630015"/>
        <c:scaling>
          <c:orientation val="minMax"/>
        </c:scaling>
        <c:delete val="1"/>
        <c:axPos val="l"/>
        <c:majorTickMark val="out"/>
        <c:minorTickMark val="none"/>
        <c:tickLblPos val="nextTo"/>
        <c:crossAx val="1166607551"/>
        <c:crosses val="autoZero"/>
        <c:auto val="1"/>
        <c:lblAlgn val="ctr"/>
        <c:lblOffset val="100"/>
        <c:noMultiLvlLbl val="0"/>
      </c:catAx>
      <c:valAx>
        <c:axId val="1166607551"/>
        <c:scaling>
          <c:orientation val="minMax"/>
          <c:max val="4"/>
          <c:min val="0"/>
        </c:scaling>
        <c:delete val="1"/>
        <c:axPos val="b"/>
        <c:numFmt formatCode="0.0" sourceLinked="1"/>
        <c:majorTickMark val="out"/>
        <c:minorTickMark val="none"/>
        <c:tickLblPos val="nextTo"/>
        <c:crossAx val="1166630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8C-495E-9712-451512232D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8C-495E-9712-451512232D0A}"/>
              </c:ext>
            </c:extLst>
          </c:dPt>
          <c:val>
            <c:numRef>
              <c:f>Gender!$C$9:$C$10</c:f>
              <c:numCache>
                <c:formatCode>0%</c:formatCode>
                <c:ptCount val="2"/>
                <c:pt idx="0">
                  <c:v>0.40909090909090912</c:v>
                </c:pt>
                <c:pt idx="1">
                  <c:v>0.59090909090909094</c:v>
                </c:pt>
              </c:numCache>
            </c:numRef>
          </c:val>
          <c:extLst>
            <c:ext xmlns:c16="http://schemas.microsoft.com/office/drawing/2014/chart" uri="{C3380CC4-5D6E-409C-BE32-E72D297353CC}">
              <c16:uniqueId val="{00000000-3C2E-41EF-ABA3-EAF10260C33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Master's Degree</c:v>
                </c:pt>
                <c:pt idx="3">
                  <c:v>Bachelor's Degree</c:v>
                </c:pt>
                <c:pt idx="4">
                  <c:v>Associates Degree</c:v>
                </c:pt>
              </c:strCache>
            </c:strRef>
          </c:cat>
          <c:val>
            <c:numRef>
              <c:f>'Education By Attrition'!$B$4:$B$9</c:f>
              <c:numCache>
                <c:formatCode>General</c:formatCode>
                <c:ptCount val="5"/>
                <c:pt idx="0">
                  <c:v>0</c:v>
                </c:pt>
                <c:pt idx="1">
                  <c:v>1</c:v>
                </c:pt>
                <c:pt idx="2">
                  <c:v>3</c:v>
                </c:pt>
                <c:pt idx="3">
                  <c:v>4</c:v>
                </c:pt>
                <c:pt idx="4">
                  <c:v>6</c:v>
                </c:pt>
              </c:numCache>
            </c:numRef>
          </c:val>
          <c:extLst>
            <c:ext xmlns:c16="http://schemas.microsoft.com/office/drawing/2014/chart" uri="{C3380CC4-5D6E-409C-BE32-E72D297353CC}">
              <c16:uniqueId val="{00000000-614B-44AB-9408-517C19C6750D}"/>
            </c:ext>
          </c:extLst>
        </c:ser>
        <c:dLbls>
          <c:dLblPos val="outEnd"/>
          <c:showLegendKey val="0"/>
          <c:showVal val="1"/>
          <c:showCatName val="0"/>
          <c:showSerName val="0"/>
          <c:showPercent val="0"/>
          <c:showBubbleSize val="0"/>
        </c:dLbls>
        <c:gapWidth val="182"/>
        <c:axId val="293468512"/>
        <c:axId val="293471424"/>
      </c:barChart>
      <c:catAx>
        <c:axId val="293468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71424"/>
        <c:crosses val="autoZero"/>
        <c:auto val="1"/>
        <c:lblAlgn val="ctr"/>
        <c:lblOffset val="100"/>
        <c:noMultiLvlLbl val="0"/>
      </c:catAx>
      <c:valAx>
        <c:axId val="293471424"/>
        <c:scaling>
          <c:orientation val="minMax"/>
        </c:scaling>
        <c:delete val="1"/>
        <c:axPos val="b"/>
        <c:numFmt formatCode="General" sourceLinked="1"/>
        <c:majorTickMark val="out"/>
        <c:minorTickMark val="none"/>
        <c:tickLblPos val="nextTo"/>
        <c:crossAx val="29346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data.xlsx]Dept wise attrition!Deptt.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cat>
            <c:strRef>
              <c:f>'Dept wise attrition'!$A$4:$A$5</c:f>
              <c:strCache>
                <c:ptCount val="1"/>
                <c:pt idx="0">
                  <c:v>Sales</c:v>
                </c:pt>
              </c:strCache>
            </c:strRef>
          </c:cat>
          <c:val>
            <c:numRef>
              <c:f>'Dept wise attrition'!$B$4:$B$5</c:f>
              <c:numCache>
                <c:formatCode>0.00%</c:formatCode>
                <c:ptCount val="1"/>
                <c:pt idx="0">
                  <c:v>1</c:v>
                </c:pt>
              </c:numCache>
            </c:numRef>
          </c:val>
          <c:extLst>
            <c:ext xmlns:c16="http://schemas.microsoft.com/office/drawing/2014/chart" uri="{C3380CC4-5D6E-409C-BE32-E72D297353CC}">
              <c16:uniqueId val="{00000000-D88F-4C5F-8B6C-23703DD4C4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data.xlsx]Attrition By Age!Attrition By Age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6</c:v>
                </c:pt>
                <c:pt idx="1">
                  <c:v>3</c:v>
                </c:pt>
                <c:pt idx="2">
                  <c:v>2</c:v>
                </c:pt>
                <c:pt idx="3">
                  <c:v>2</c:v>
                </c:pt>
                <c:pt idx="4">
                  <c:v>1</c:v>
                </c:pt>
              </c:numCache>
            </c:numRef>
          </c:val>
          <c:extLst>
            <c:ext xmlns:c16="http://schemas.microsoft.com/office/drawing/2014/chart" uri="{C3380CC4-5D6E-409C-BE32-E72D297353CC}">
              <c16:uniqueId val="{00000000-36FB-4D58-85A5-28348F3549B0}"/>
            </c:ext>
          </c:extLst>
        </c:ser>
        <c:dLbls>
          <c:showLegendKey val="0"/>
          <c:showVal val="0"/>
          <c:showCatName val="0"/>
          <c:showSerName val="0"/>
          <c:showPercent val="0"/>
          <c:showBubbleSize val="0"/>
        </c:dLbls>
        <c:gapWidth val="219"/>
        <c:overlap val="-27"/>
        <c:axId val="293428576"/>
        <c:axId val="293428160"/>
      </c:barChart>
      <c:catAx>
        <c:axId val="293428576"/>
        <c:scaling>
          <c:orientation val="minMax"/>
        </c:scaling>
        <c:delete val="1"/>
        <c:axPos val="b"/>
        <c:numFmt formatCode="General" sourceLinked="1"/>
        <c:majorTickMark val="none"/>
        <c:minorTickMark val="none"/>
        <c:tickLblPos val="nextTo"/>
        <c:crossAx val="293428160"/>
        <c:crosses val="autoZero"/>
        <c:auto val="1"/>
        <c:lblAlgn val="ctr"/>
        <c:lblOffset val="100"/>
        <c:noMultiLvlLbl val="0"/>
      </c:catAx>
      <c:valAx>
        <c:axId val="293428160"/>
        <c:scaling>
          <c:orientation val="minMax"/>
        </c:scaling>
        <c:delete val="1"/>
        <c:axPos val="l"/>
        <c:numFmt formatCode="General" sourceLinked="1"/>
        <c:majorTickMark val="none"/>
        <c:minorTickMark val="none"/>
        <c:tickLblPos val="nextTo"/>
        <c:crossAx val="29342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6137069C-2874-4336-8BED-30527A0210A2}">
          <cx:dataLabels pos="inEnd">
            <cx:visibility seriesName="0" categoryName="1" value="0"/>
          </cx:dataLabels>
          <cx:dataId val="0"/>
          <cx:layoutPr>
            <cx:parentLabelLayout val="overlapping"/>
          </cx:layoutPr>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7288B56-ED3D-44FF-87BF-5B2190023873}">
          <cx:tx>
            <cx:txData>
              <cx:f>_xlchart.v2.1</cx:f>
              <cx:v>Attrition</cx:v>
            </cx:txData>
          </cx:tx>
          <cx:spPr>
            <a:gradFill>
              <a:gsLst>
                <a:gs pos="65313">
                  <a:schemeClr val="accent2">
                    <a:lumMod val="75000"/>
                  </a:schemeClr>
                </a:gs>
                <a:gs pos="100000">
                  <a:schemeClr val="accent6">
                    <a:lumMod val="60000"/>
                    <a:lumOff val="40000"/>
                  </a:schemeClr>
                </a:gs>
                <a:gs pos="0">
                  <a:schemeClr val="accent6">
                    <a:lumMod val="75000"/>
                  </a:schemeClr>
                </a:gs>
                <a:gs pos="74000">
                  <a:schemeClr val="accent6">
                    <a:lumMod val="40000"/>
                    <a:lumOff val="60000"/>
                  </a:schemeClr>
                </a:gs>
                <a:gs pos="83000">
                  <a:schemeClr val="accent6">
                    <a:lumMod val="40000"/>
                    <a:lumOff val="60000"/>
                  </a:schemeClr>
                </a:gs>
                <a:gs pos="100000">
                  <a:schemeClr val="accent1">
                    <a:lumMod val="30000"/>
                    <a:lumOff val="70000"/>
                  </a:schemeClr>
                </a:gs>
              </a:gsLst>
              <a:lin ang="0" scaled="0"/>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6137069C-2874-4336-8BED-30527A0210A2}">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_xlchart.v2.12</cx:f>
      </cx:numDim>
    </cx:data>
  </cx:chartData>
  <cx:chart>
    <cx:plotArea>
      <cx:plotAreaRegion>
        <cx:series layoutId="funnel" uniqueId="{57288B56-ED3D-44FF-87BF-5B2190023873}">
          <cx:tx>
            <cx:txData>
              <cx:f>_xlchart.v2.11</cx:f>
              <cx:v>Attrition</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10.pn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5.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chart" Target="../charts/chart3.xml"/><Relationship Id="rId19"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microsoft.com/office/2014/relationships/chartEx" Target="../charts/chartEx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6</xdr:col>
      <xdr:colOff>381000</xdr:colOff>
      <xdr:row>1</xdr:row>
      <xdr:rowOff>152401</xdr:rowOff>
    </xdr:from>
    <xdr:to>
      <xdr:col>9</xdr:col>
      <xdr:colOff>198120</xdr:colOff>
      <xdr:row>7</xdr:row>
      <xdr:rowOff>60961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10D9331-1D27-41E9-9FEF-0FCCC000119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47660" y="350521"/>
              <a:ext cx="182880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142987</xdr:colOff>
      <xdr:row>0</xdr:row>
      <xdr:rowOff>52294</xdr:rowOff>
    </xdr:from>
    <xdr:ext cx="12736308" cy="5852160"/>
    <xdr:grpSp>
      <xdr:nvGrpSpPr>
        <xdr:cNvPr id="29" name="Shape 2">
          <a:extLst>
            <a:ext uri="{FF2B5EF4-FFF2-40B4-BE49-F238E27FC236}">
              <a16:creationId xmlns:a16="http://schemas.microsoft.com/office/drawing/2014/main" id="{6FB4887A-BB93-46BB-8003-E28B1486331C}"/>
            </a:ext>
          </a:extLst>
        </xdr:cNvPr>
        <xdr:cNvGrpSpPr/>
      </xdr:nvGrpSpPr>
      <xdr:grpSpPr>
        <a:xfrm>
          <a:off x="142987" y="52294"/>
          <a:ext cx="12736308" cy="5852160"/>
          <a:chOff x="0" y="60488"/>
          <a:chExt cx="10692000" cy="7439025"/>
        </a:xfrm>
      </xdr:grpSpPr>
      <xdr:grpSp>
        <xdr:nvGrpSpPr>
          <xdr:cNvPr id="30" name="Shape 29">
            <a:extLst>
              <a:ext uri="{FF2B5EF4-FFF2-40B4-BE49-F238E27FC236}">
                <a16:creationId xmlns:a16="http://schemas.microsoft.com/office/drawing/2014/main" id="{8684A59D-7B9D-44EB-B3AB-8CC69EEFE2B5}"/>
              </a:ext>
            </a:extLst>
          </xdr:cNvPr>
          <xdr:cNvGrpSpPr/>
        </xdr:nvGrpSpPr>
        <xdr:grpSpPr>
          <a:xfrm>
            <a:off x="0" y="60488"/>
            <a:ext cx="10692000" cy="7439025"/>
            <a:chOff x="1752600" y="190500"/>
            <a:chExt cx="13468350" cy="7776000"/>
          </a:xfrm>
        </xdr:grpSpPr>
        <xdr:sp macro="" textlink="">
          <xdr:nvSpPr>
            <xdr:cNvPr id="31" name="Shape 4">
              <a:extLst>
                <a:ext uri="{FF2B5EF4-FFF2-40B4-BE49-F238E27FC236}">
                  <a16:creationId xmlns:a16="http://schemas.microsoft.com/office/drawing/2014/main" id="{91A18D97-76E4-45DB-B392-A48115FB1B15}"/>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2" name="Shape 30">
              <a:extLst>
                <a:ext uri="{FF2B5EF4-FFF2-40B4-BE49-F238E27FC236}">
                  <a16:creationId xmlns:a16="http://schemas.microsoft.com/office/drawing/2014/main" id="{C1C19BCC-E189-40AB-A72D-240AD6E1A536}"/>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3" name="Shape 31">
              <a:extLst>
                <a:ext uri="{FF2B5EF4-FFF2-40B4-BE49-F238E27FC236}">
                  <a16:creationId xmlns:a16="http://schemas.microsoft.com/office/drawing/2014/main" id="{999B4EF0-2CE1-4397-843E-1A8EB5BAC34F}"/>
                </a:ext>
              </a:extLst>
            </xdr:cNvPr>
            <xdr:cNvSpPr/>
          </xdr:nvSpPr>
          <xdr:spPr>
            <a:xfrm>
              <a:off x="1928964" y="310725"/>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4" name="Shape 32">
              <a:extLst>
                <a:ext uri="{FF2B5EF4-FFF2-40B4-BE49-F238E27FC236}">
                  <a16:creationId xmlns:a16="http://schemas.microsoft.com/office/drawing/2014/main" id="{67423AD0-DACE-436C-880A-FE7FC01DC4CB}"/>
                </a:ext>
              </a:extLst>
            </xdr:cNvPr>
            <xdr:cNvSpPr/>
          </xdr:nvSpPr>
          <xdr:spPr>
            <a:xfrm>
              <a:off x="9681220" y="320532"/>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5" name="Shape 33">
              <a:extLst>
                <a:ext uri="{FF2B5EF4-FFF2-40B4-BE49-F238E27FC236}">
                  <a16:creationId xmlns:a16="http://schemas.microsoft.com/office/drawing/2014/main" id="{84AA6410-7B30-4666-BA4F-DDDB0F29822D}"/>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6" name="Shape 34">
              <a:extLst>
                <a:ext uri="{FF2B5EF4-FFF2-40B4-BE49-F238E27FC236}">
                  <a16:creationId xmlns:a16="http://schemas.microsoft.com/office/drawing/2014/main" id="{711DAD7C-54E1-45DF-B491-2FC18D82BCE5}"/>
                </a:ext>
              </a:extLst>
            </xdr:cNvPr>
            <xdr:cNvGrpSpPr/>
          </xdr:nvGrpSpPr>
          <xdr:grpSpPr>
            <a:xfrm>
              <a:off x="1846116" y="1215714"/>
              <a:ext cx="13289109" cy="998848"/>
              <a:chOff x="1846116" y="1215714"/>
              <a:chExt cx="13403409" cy="998848"/>
            </a:xfrm>
          </xdr:grpSpPr>
          <xdr:sp macro="" textlink="">
            <xdr:nvSpPr>
              <xdr:cNvPr id="51" name="Shape 35">
                <a:extLst>
                  <a:ext uri="{FF2B5EF4-FFF2-40B4-BE49-F238E27FC236}">
                    <a16:creationId xmlns:a16="http://schemas.microsoft.com/office/drawing/2014/main" id="{A0A99796-C65F-4822-BEC5-0CDF958E91A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2" name="Shape 36">
                <a:extLst>
                  <a:ext uri="{FF2B5EF4-FFF2-40B4-BE49-F238E27FC236}">
                    <a16:creationId xmlns:a16="http://schemas.microsoft.com/office/drawing/2014/main" id="{AF6B977A-3EC8-461F-8E99-02986D9AD1E6}"/>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3" name="Shape 37">
                <a:extLst>
                  <a:ext uri="{FF2B5EF4-FFF2-40B4-BE49-F238E27FC236}">
                    <a16:creationId xmlns:a16="http://schemas.microsoft.com/office/drawing/2014/main" id="{B776018A-A7B2-4FD8-B3EE-41ECAD6CEFE7}"/>
                  </a:ext>
                </a:extLst>
              </xdr:cNvPr>
              <xdr:cNvSpPr/>
            </xdr:nvSpPr>
            <xdr:spPr>
              <a:xfrm>
                <a:off x="7239103"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4" name="Shape 38">
                <a:extLst>
                  <a:ext uri="{FF2B5EF4-FFF2-40B4-BE49-F238E27FC236}">
                    <a16:creationId xmlns:a16="http://schemas.microsoft.com/office/drawing/2014/main" id="{3A0C2DD1-5664-4F61-B52A-F86F0EC32B86}"/>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5" name="Shape 39">
                <a:extLst>
                  <a:ext uri="{FF2B5EF4-FFF2-40B4-BE49-F238E27FC236}">
                    <a16:creationId xmlns:a16="http://schemas.microsoft.com/office/drawing/2014/main" id="{9E9CE724-892C-4C08-9365-96B9865B1B5B}"/>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37" name="Shape 40">
              <a:extLst>
                <a:ext uri="{FF2B5EF4-FFF2-40B4-BE49-F238E27FC236}">
                  <a16:creationId xmlns:a16="http://schemas.microsoft.com/office/drawing/2014/main" id="{9FD58877-8F10-482E-A371-B851CB1EF149}"/>
                </a:ext>
              </a:extLst>
            </xdr:cNvPr>
            <xdr:cNvGrpSpPr/>
          </xdr:nvGrpSpPr>
          <xdr:grpSpPr>
            <a:xfrm>
              <a:off x="1847145" y="5162550"/>
              <a:ext cx="3867930" cy="2709509"/>
              <a:chOff x="1847145" y="2304895"/>
              <a:chExt cx="3867930" cy="2772878"/>
            </a:xfrm>
          </xdr:grpSpPr>
          <xdr:sp macro="" textlink="">
            <xdr:nvSpPr>
              <xdr:cNvPr id="49" name="Shape 41">
                <a:extLst>
                  <a:ext uri="{FF2B5EF4-FFF2-40B4-BE49-F238E27FC236}">
                    <a16:creationId xmlns:a16="http://schemas.microsoft.com/office/drawing/2014/main" id="{2FEE0A0D-07BF-49DE-835F-1F16AB986493}"/>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0" name="Shape 42">
                <a:extLst>
                  <a:ext uri="{FF2B5EF4-FFF2-40B4-BE49-F238E27FC236}">
                    <a16:creationId xmlns:a16="http://schemas.microsoft.com/office/drawing/2014/main" id="{B69A3FAF-69FF-4743-93F1-2110FBA7DBF1}"/>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38" name="Shape 43">
              <a:extLst>
                <a:ext uri="{FF2B5EF4-FFF2-40B4-BE49-F238E27FC236}">
                  <a16:creationId xmlns:a16="http://schemas.microsoft.com/office/drawing/2014/main" id="{3C8D02E7-3A2E-4541-8B91-BC1F8AF58136}"/>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39" name="Shape 44">
              <a:extLst>
                <a:ext uri="{FF2B5EF4-FFF2-40B4-BE49-F238E27FC236}">
                  <a16:creationId xmlns:a16="http://schemas.microsoft.com/office/drawing/2014/main" id="{03120138-C456-4AA8-A0FD-DB376DB49C58}"/>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0" name="Shape 45">
              <a:extLst>
                <a:ext uri="{FF2B5EF4-FFF2-40B4-BE49-F238E27FC236}">
                  <a16:creationId xmlns:a16="http://schemas.microsoft.com/office/drawing/2014/main" id="{09FDB9A1-98BF-49BD-B421-27C12B102473}"/>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1" name="Shape 46">
              <a:extLst>
                <a:ext uri="{FF2B5EF4-FFF2-40B4-BE49-F238E27FC236}">
                  <a16:creationId xmlns:a16="http://schemas.microsoft.com/office/drawing/2014/main" id="{5C88696B-B92E-4A05-A22F-5FD62BF0FF6C}"/>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7">
              <a:extLst>
                <a:ext uri="{FF2B5EF4-FFF2-40B4-BE49-F238E27FC236}">
                  <a16:creationId xmlns:a16="http://schemas.microsoft.com/office/drawing/2014/main" id="{7066F2B3-E756-4A9C-9902-55C827E080A1}"/>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3" name="Shape 48">
              <a:extLst>
                <a:ext uri="{FF2B5EF4-FFF2-40B4-BE49-F238E27FC236}">
                  <a16:creationId xmlns:a16="http://schemas.microsoft.com/office/drawing/2014/main" id="{9F2E2E7A-0A3A-438F-B519-AEAF249CE71E}"/>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4" name="Shape 49">
              <a:extLst>
                <a:ext uri="{FF2B5EF4-FFF2-40B4-BE49-F238E27FC236}">
                  <a16:creationId xmlns:a16="http://schemas.microsoft.com/office/drawing/2014/main" id="{46AD73EA-FBBE-426D-BDB8-EB8061BFB005}"/>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5" name="Shape 50">
              <a:extLst>
                <a:ext uri="{FF2B5EF4-FFF2-40B4-BE49-F238E27FC236}">
                  <a16:creationId xmlns:a16="http://schemas.microsoft.com/office/drawing/2014/main" id="{6A5FE98B-46BA-4A62-8890-6BC63283D659}"/>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6" name="Shape 51">
              <a:extLst>
                <a:ext uri="{FF2B5EF4-FFF2-40B4-BE49-F238E27FC236}">
                  <a16:creationId xmlns:a16="http://schemas.microsoft.com/office/drawing/2014/main" id="{FDACD1AB-312F-4688-B7D5-DF69B32B506E}"/>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7" name="Shape 52">
              <a:extLst>
                <a:ext uri="{FF2B5EF4-FFF2-40B4-BE49-F238E27FC236}">
                  <a16:creationId xmlns:a16="http://schemas.microsoft.com/office/drawing/2014/main" id="{7A3E0217-44A9-4B4C-A047-9289EADC24E3}"/>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8" name="Shape 53">
              <a:extLst>
                <a:ext uri="{FF2B5EF4-FFF2-40B4-BE49-F238E27FC236}">
                  <a16:creationId xmlns:a16="http://schemas.microsoft.com/office/drawing/2014/main" id="{84571177-494B-44EC-A28C-5022C76390B8}"/>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0</xdr:col>
      <xdr:colOff>341257</xdr:colOff>
      <xdr:row>4</xdr:row>
      <xdr:rowOff>45869</xdr:rowOff>
    </xdr:from>
    <xdr:to>
      <xdr:col>3</xdr:col>
      <xdr:colOff>394597</xdr:colOff>
      <xdr:row>5</xdr:row>
      <xdr:rowOff>152549</xdr:rowOff>
    </xdr:to>
    <xdr:sp macro="" textlink="">
      <xdr:nvSpPr>
        <xdr:cNvPr id="56" name="TextBox 55">
          <a:extLst>
            <a:ext uri="{FF2B5EF4-FFF2-40B4-BE49-F238E27FC236}">
              <a16:creationId xmlns:a16="http://schemas.microsoft.com/office/drawing/2014/main" id="{9A57C590-3708-43F7-90A1-A84891F5DE4F}"/>
            </a:ext>
          </a:extLst>
        </xdr:cNvPr>
        <xdr:cNvSpPr txBox="1"/>
      </xdr:nvSpPr>
      <xdr:spPr>
        <a:xfrm>
          <a:off x="341257" y="852693"/>
          <a:ext cx="2070399" cy="3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602928"/>
              </a:solidFill>
              <a:latin typeface="Arial Black" panose="020B0A04020102020204" pitchFamily="34" charset="0"/>
            </a:rPr>
            <a:t>TOTAL</a:t>
          </a:r>
          <a:r>
            <a:rPr lang="en-US" sz="1100" baseline="0">
              <a:solidFill>
                <a:srgbClr val="602928"/>
              </a:solidFill>
              <a:latin typeface="Arial Black" panose="020B0A04020102020204" pitchFamily="34" charset="0"/>
            </a:rPr>
            <a:t> EMPLOYEES</a:t>
          </a:r>
          <a:endParaRPr lang="en-US" sz="1100">
            <a:solidFill>
              <a:srgbClr val="602928"/>
            </a:solidFill>
            <a:latin typeface="Arial Black" panose="020B0A04020102020204" pitchFamily="34" charset="0"/>
          </a:endParaRPr>
        </a:p>
      </xdr:txBody>
    </xdr:sp>
    <xdr:clientData/>
  </xdr:twoCellAnchor>
  <xdr:twoCellAnchor>
    <xdr:from>
      <xdr:col>1</xdr:col>
      <xdr:colOff>99509</xdr:colOff>
      <xdr:row>5</xdr:row>
      <xdr:rowOff>70673</xdr:rowOff>
    </xdr:from>
    <xdr:to>
      <xdr:col>3</xdr:col>
      <xdr:colOff>510989</xdr:colOff>
      <xdr:row>7</xdr:row>
      <xdr:rowOff>82177</xdr:rowOff>
    </xdr:to>
    <xdr:sp macro="" textlink="KPI!$A$8">
      <xdr:nvSpPr>
        <xdr:cNvPr id="57" name="TextBox 56">
          <a:extLst>
            <a:ext uri="{FF2B5EF4-FFF2-40B4-BE49-F238E27FC236}">
              <a16:creationId xmlns:a16="http://schemas.microsoft.com/office/drawing/2014/main" id="{058FD0B3-E211-4CFF-A072-37C6C4CEF668}"/>
            </a:ext>
          </a:extLst>
        </xdr:cNvPr>
        <xdr:cNvSpPr txBox="1"/>
      </xdr:nvSpPr>
      <xdr:spPr>
        <a:xfrm>
          <a:off x="771862" y="1079202"/>
          <a:ext cx="1756186" cy="4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9AF69C-D5CD-49EA-A650-63ED25C38570}" type="TxLink">
            <a:rPr lang="en-US" sz="2000" b="0" i="0" u="none" strike="noStrike">
              <a:solidFill>
                <a:srgbClr val="002060"/>
              </a:solidFill>
              <a:latin typeface="Arial Black" panose="020B0A04020102020204" pitchFamily="34" charset="0"/>
              <a:ea typeface="Calibri"/>
              <a:cs typeface="Calibri"/>
            </a:rPr>
            <a:pPr/>
            <a:t>88</a:t>
          </a:fld>
          <a:endParaRPr lang="en-US" sz="20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5</xdr:col>
      <xdr:colOff>157928</xdr:colOff>
      <xdr:row>5</xdr:row>
      <xdr:rowOff>52295</xdr:rowOff>
    </xdr:from>
    <xdr:to>
      <xdr:col>7</xdr:col>
      <xdr:colOff>569408</xdr:colOff>
      <xdr:row>7</xdr:row>
      <xdr:rowOff>63799</xdr:rowOff>
    </xdr:to>
    <xdr:sp macro="" textlink="KPI!$B$8">
      <xdr:nvSpPr>
        <xdr:cNvPr id="85" name="TextBox 84">
          <a:extLst>
            <a:ext uri="{FF2B5EF4-FFF2-40B4-BE49-F238E27FC236}">
              <a16:creationId xmlns:a16="http://schemas.microsoft.com/office/drawing/2014/main" id="{5011FD05-F425-4CE2-BA18-DE168F35FA82}"/>
            </a:ext>
          </a:extLst>
        </xdr:cNvPr>
        <xdr:cNvSpPr txBox="1"/>
      </xdr:nvSpPr>
      <xdr:spPr>
        <a:xfrm>
          <a:off x="3519693" y="1060824"/>
          <a:ext cx="1756186" cy="4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3610B5-99B7-4627-A638-62964FE30D4A}" type="TxLink">
            <a:rPr lang="en-US" sz="2000" b="0" i="0" u="none" strike="noStrike">
              <a:solidFill>
                <a:srgbClr val="002060"/>
              </a:solidFill>
              <a:latin typeface="Arial Black" panose="020B0A04020102020204" pitchFamily="34" charset="0"/>
              <a:ea typeface="Calibri"/>
              <a:cs typeface="Calibri"/>
            </a:rPr>
            <a:pPr marL="0" indent="0"/>
            <a:t>14</a:t>
          </a:fld>
          <a:endParaRPr lang="en-US" sz="20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4</xdr:col>
      <xdr:colOff>172868</xdr:colOff>
      <xdr:row>4</xdr:row>
      <xdr:rowOff>29882</xdr:rowOff>
    </xdr:from>
    <xdr:to>
      <xdr:col>7</xdr:col>
      <xdr:colOff>226208</xdr:colOff>
      <xdr:row>5</xdr:row>
      <xdr:rowOff>136562</xdr:rowOff>
    </xdr:to>
    <xdr:sp macro="" textlink="">
      <xdr:nvSpPr>
        <xdr:cNvPr id="89" name="TextBox 88">
          <a:extLst>
            <a:ext uri="{FF2B5EF4-FFF2-40B4-BE49-F238E27FC236}">
              <a16:creationId xmlns:a16="http://schemas.microsoft.com/office/drawing/2014/main" id="{C9C37A51-2FFD-4025-A90C-44DCAFB6A7AE}"/>
            </a:ext>
          </a:extLst>
        </xdr:cNvPr>
        <xdr:cNvSpPr txBox="1"/>
      </xdr:nvSpPr>
      <xdr:spPr>
        <a:xfrm>
          <a:off x="2862280" y="836706"/>
          <a:ext cx="2070399" cy="3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602928"/>
              </a:solidFill>
              <a:latin typeface="Arial Black" panose="020B0A04020102020204" pitchFamily="34" charset="0"/>
            </a:rPr>
            <a:t>ATTRITION</a:t>
          </a:r>
        </a:p>
      </xdr:txBody>
    </xdr:sp>
    <xdr:clientData/>
  </xdr:twoCellAnchor>
  <xdr:twoCellAnchor>
    <xdr:from>
      <xdr:col>8</xdr:col>
      <xdr:colOff>225162</xdr:colOff>
      <xdr:row>4</xdr:row>
      <xdr:rowOff>14941</xdr:rowOff>
    </xdr:from>
    <xdr:to>
      <xdr:col>11</xdr:col>
      <xdr:colOff>278503</xdr:colOff>
      <xdr:row>5</xdr:row>
      <xdr:rowOff>121621</xdr:rowOff>
    </xdr:to>
    <xdr:sp macro="" textlink="">
      <xdr:nvSpPr>
        <xdr:cNvPr id="90" name="TextBox 89">
          <a:extLst>
            <a:ext uri="{FF2B5EF4-FFF2-40B4-BE49-F238E27FC236}">
              <a16:creationId xmlns:a16="http://schemas.microsoft.com/office/drawing/2014/main" id="{6B289CD9-E839-432A-BEA9-70B277C3EF1C}"/>
            </a:ext>
          </a:extLst>
        </xdr:cNvPr>
        <xdr:cNvSpPr txBox="1"/>
      </xdr:nvSpPr>
      <xdr:spPr>
        <a:xfrm>
          <a:off x="5603986" y="821765"/>
          <a:ext cx="2070399" cy="3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602928"/>
              </a:solidFill>
              <a:latin typeface="Arial Black" panose="020B0A04020102020204" pitchFamily="34" charset="0"/>
            </a:rPr>
            <a:t>ACTIVE</a:t>
          </a:r>
          <a:r>
            <a:rPr lang="en-US" sz="1100" baseline="0">
              <a:solidFill>
                <a:srgbClr val="602928"/>
              </a:solidFill>
              <a:latin typeface="Arial Black" panose="020B0A04020102020204" pitchFamily="34" charset="0"/>
            </a:rPr>
            <a:t> EMPLOYEES</a:t>
          </a:r>
          <a:endParaRPr lang="en-US" sz="1100">
            <a:solidFill>
              <a:srgbClr val="602928"/>
            </a:solidFill>
            <a:latin typeface="Arial Black" panose="020B0A04020102020204" pitchFamily="34" charset="0"/>
          </a:endParaRPr>
        </a:p>
      </xdr:txBody>
    </xdr:sp>
    <xdr:clientData/>
  </xdr:twoCellAnchor>
  <xdr:twoCellAnchor>
    <xdr:from>
      <xdr:col>9</xdr:col>
      <xdr:colOff>90693</xdr:colOff>
      <xdr:row>5</xdr:row>
      <xdr:rowOff>59765</xdr:rowOff>
    </xdr:from>
    <xdr:to>
      <xdr:col>11</xdr:col>
      <xdr:colOff>502173</xdr:colOff>
      <xdr:row>7</xdr:row>
      <xdr:rowOff>71269</xdr:rowOff>
    </xdr:to>
    <xdr:sp macro="" textlink="KPI!$D$8">
      <xdr:nvSpPr>
        <xdr:cNvPr id="92" name="TextBox 91">
          <a:extLst>
            <a:ext uri="{FF2B5EF4-FFF2-40B4-BE49-F238E27FC236}">
              <a16:creationId xmlns:a16="http://schemas.microsoft.com/office/drawing/2014/main" id="{49328DA0-A0C9-4988-BCB6-52AB33FF0872}"/>
            </a:ext>
          </a:extLst>
        </xdr:cNvPr>
        <xdr:cNvSpPr txBox="1"/>
      </xdr:nvSpPr>
      <xdr:spPr>
        <a:xfrm>
          <a:off x="6141869" y="1068294"/>
          <a:ext cx="1756186" cy="4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C300A1-4CFD-4A65-AC4C-DA5EAB000707}" type="TxLink">
            <a:rPr lang="en-US" sz="2000" b="0" i="0" u="none" strike="noStrike">
              <a:solidFill>
                <a:srgbClr val="002060"/>
              </a:solidFill>
              <a:latin typeface="Arial Black" panose="020B0A04020102020204" pitchFamily="34" charset="0"/>
              <a:ea typeface="Calibri"/>
              <a:cs typeface="Calibri"/>
            </a:rPr>
            <a:pPr marL="0" indent="0"/>
            <a:t>74</a:t>
          </a:fld>
          <a:endParaRPr lang="en-US" sz="20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12</xdr:col>
      <xdr:colOff>568810</xdr:colOff>
      <xdr:row>5</xdr:row>
      <xdr:rowOff>29882</xdr:rowOff>
    </xdr:from>
    <xdr:to>
      <xdr:col>15</xdr:col>
      <xdr:colOff>307937</xdr:colOff>
      <xdr:row>7</xdr:row>
      <xdr:rowOff>41386</xdr:rowOff>
    </xdr:to>
    <xdr:sp macro="" textlink="KPI!$E$8">
      <xdr:nvSpPr>
        <xdr:cNvPr id="93" name="TextBox 92">
          <a:extLst>
            <a:ext uri="{FF2B5EF4-FFF2-40B4-BE49-F238E27FC236}">
              <a16:creationId xmlns:a16="http://schemas.microsoft.com/office/drawing/2014/main" id="{25730670-C2CA-416D-A4DC-D20AEF521249}"/>
            </a:ext>
          </a:extLst>
        </xdr:cNvPr>
        <xdr:cNvSpPr txBox="1"/>
      </xdr:nvSpPr>
      <xdr:spPr>
        <a:xfrm>
          <a:off x="8637045" y="1038411"/>
          <a:ext cx="1756186" cy="4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7DB265-2033-4B42-ADA1-DF251B849844}" type="TxLink">
            <a:rPr lang="en-US" sz="2000" b="0" i="0" u="none" strike="noStrike">
              <a:solidFill>
                <a:srgbClr val="002060"/>
              </a:solidFill>
              <a:latin typeface="Arial Black" panose="020B0A04020102020204" pitchFamily="34" charset="0"/>
              <a:ea typeface="Calibri"/>
              <a:cs typeface="Calibri"/>
            </a:rPr>
            <a:pPr marL="0" indent="0"/>
            <a:t>15.91%</a:t>
          </a:fld>
          <a:endParaRPr lang="en-US" sz="20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12</xdr:col>
      <xdr:colOff>75751</xdr:colOff>
      <xdr:row>4</xdr:row>
      <xdr:rowOff>44823</xdr:rowOff>
    </xdr:from>
    <xdr:to>
      <xdr:col>15</xdr:col>
      <xdr:colOff>129091</xdr:colOff>
      <xdr:row>5</xdr:row>
      <xdr:rowOff>151503</xdr:rowOff>
    </xdr:to>
    <xdr:sp macro="" textlink="">
      <xdr:nvSpPr>
        <xdr:cNvPr id="95" name="TextBox 94">
          <a:extLst>
            <a:ext uri="{FF2B5EF4-FFF2-40B4-BE49-F238E27FC236}">
              <a16:creationId xmlns:a16="http://schemas.microsoft.com/office/drawing/2014/main" id="{66A84845-6A9A-4155-B704-CD2F3D00798E}"/>
            </a:ext>
          </a:extLst>
        </xdr:cNvPr>
        <xdr:cNvSpPr txBox="1"/>
      </xdr:nvSpPr>
      <xdr:spPr>
        <a:xfrm>
          <a:off x="8143986" y="851647"/>
          <a:ext cx="2070399" cy="3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602928"/>
              </a:solidFill>
              <a:latin typeface="Arial Black" panose="020B0A04020102020204" pitchFamily="34" charset="0"/>
            </a:rPr>
            <a:t>ATTRITION</a:t>
          </a:r>
          <a:r>
            <a:rPr lang="en-US" sz="1100" baseline="0">
              <a:solidFill>
                <a:srgbClr val="602928"/>
              </a:solidFill>
              <a:latin typeface="Arial Black" panose="020B0A04020102020204" pitchFamily="34" charset="0"/>
            </a:rPr>
            <a:t> RATE</a:t>
          </a:r>
          <a:endParaRPr lang="en-US" sz="1100">
            <a:solidFill>
              <a:srgbClr val="602928"/>
            </a:solidFill>
            <a:latin typeface="Arial Black" panose="020B0A04020102020204" pitchFamily="34" charset="0"/>
          </a:endParaRPr>
        </a:p>
      </xdr:txBody>
    </xdr:sp>
    <xdr:clientData/>
  </xdr:twoCellAnchor>
  <xdr:twoCellAnchor>
    <xdr:from>
      <xdr:col>16</xdr:col>
      <xdr:colOff>8515</xdr:colOff>
      <xdr:row>3</xdr:row>
      <xdr:rowOff>179293</xdr:rowOff>
    </xdr:from>
    <xdr:to>
      <xdr:col>19</xdr:col>
      <xdr:colOff>61855</xdr:colOff>
      <xdr:row>5</xdr:row>
      <xdr:rowOff>84267</xdr:rowOff>
    </xdr:to>
    <xdr:sp macro="" textlink="">
      <xdr:nvSpPr>
        <xdr:cNvPr id="96" name="TextBox 95">
          <a:extLst>
            <a:ext uri="{FF2B5EF4-FFF2-40B4-BE49-F238E27FC236}">
              <a16:creationId xmlns:a16="http://schemas.microsoft.com/office/drawing/2014/main" id="{5A5E9C82-110F-4605-BB41-9AF92D7ADA10}"/>
            </a:ext>
          </a:extLst>
        </xdr:cNvPr>
        <xdr:cNvSpPr txBox="1"/>
      </xdr:nvSpPr>
      <xdr:spPr>
        <a:xfrm>
          <a:off x="10766162" y="784411"/>
          <a:ext cx="2070399" cy="3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602928"/>
              </a:solidFill>
              <a:latin typeface="Arial Black" panose="020B0A04020102020204" pitchFamily="34" charset="0"/>
            </a:rPr>
            <a:t>AVERAGE</a:t>
          </a:r>
          <a:r>
            <a:rPr lang="en-US" sz="1100" baseline="0">
              <a:solidFill>
                <a:srgbClr val="602928"/>
              </a:solidFill>
              <a:latin typeface="Arial Black" panose="020B0A04020102020204" pitchFamily="34" charset="0"/>
            </a:rPr>
            <a:t> AGE</a:t>
          </a:r>
          <a:endParaRPr lang="en-US" sz="1100">
            <a:solidFill>
              <a:srgbClr val="602928"/>
            </a:solidFill>
            <a:latin typeface="Arial Black" panose="020B0A04020102020204" pitchFamily="34" charset="0"/>
          </a:endParaRPr>
        </a:p>
      </xdr:txBody>
    </xdr:sp>
    <xdr:clientData/>
  </xdr:twoCellAnchor>
  <xdr:twoCellAnchor>
    <xdr:from>
      <xdr:col>16</xdr:col>
      <xdr:colOff>389515</xdr:colOff>
      <xdr:row>5</xdr:row>
      <xdr:rowOff>22412</xdr:rowOff>
    </xdr:from>
    <xdr:to>
      <xdr:col>19</xdr:col>
      <xdr:colOff>128642</xdr:colOff>
      <xdr:row>7</xdr:row>
      <xdr:rowOff>33916</xdr:rowOff>
    </xdr:to>
    <xdr:sp macro="" textlink="KPI!$C$8">
      <xdr:nvSpPr>
        <xdr:cNvPr id="97" name="TextBox 96">
          <a:extLst>
            <a:ext uri="{FF2B5EF4-FFF2-40B4-BE49-F238E27FC236}">
              <a16:creationId xmlns:a16="http://schemas.microsoft.com/office/drawing/2014/main" id="{C2B45CBE-820E-4CB8-85F5-CAD38D1E6122}"/>
            </a:ext>
          </a:extLst>
        </xdr:cNvPr>
        <xdr:cNvSpPr txBox="1"/>
      </xdr:nvSpPr>
      <xdr:spPr>
        <a:xfrm>
          <a:off x="11147162" y="1030941"/>
          <a:ext cx="1756186" cy="4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FB10AA-8D03-4BFD-A869-6DFF71497F53}" type="TxLink">
            <a:rPr lang="en-US" sz="2000" b="0" i="0" u="none" strike="noStrike">
              <a:solidFill>
                <a:srgbClr val="002060"/>
              </a:solidFill>
              <a:latin typeface="Arial Black" panose="020B0A04020102020204" pitchFamily="34" charset="0"/>
              <a:ea typeface="Calibri"/>
              <a:cs typeface="Calibri"/>
            </a:rPr>
            <a:pPr marL="0" indent="0" algn="ctr"/>
            <a:t>35</a:t>
          </a:fld>
          <a:endParaRPr lang="en-US" sz="2000" b="0" i="0" u="none" strike="noStrike">
            <a:solidFill>
              <a:srgbClr val="002060"/>
            </a:solidFill>
            <a:latin typeface="Arial Black" panose="020B0A04020102020204" pitchFamily="34" charset="0"/>
            <a:ea typeface="Calibri"/>
            <a:cs typeface="Calibri"/>
          </a:endParaRPr>
        </a:p>
      </xdr:txBody>
    </xdr:sp>
    <xdr:clientData/>
  </xdr:twoCellAnchor>
  <xdr:oneCellAnchor>
    <xdr:from>
      <xdr:col>3</xdr:col>
      <xdr:colOff>135515</xdr:colOff>
      <xdr:row>5</xdr:row>
      <xdr:rowOff>52295</xdr:rowOff>
    </xdr:from>
    <xdr:ext cx="333375" cy="314325"/>
    <xdr:pic>
      <xdr:nvPicPr>
        <xdr:cNvPr id="98" name="image4.png">
          <a:extLst>
            <a:ext uri="{FF2B5EF4-FFF2-40B4-BE49-F238E27FC236}">
              <a16:creationId xmlns:a16="http://schemas.microsoft.com/office/drawing/2014/main" id="{D0CEC03A-E813-4320-BF08-5587E1A0F1F7}"/>
            </a:ext>
          </a:extLst>
        </xdr:cNvPr>
        <xdr:cNvPicPr preferRelativeResize="0"/>
      </xdr:nvPicPr>
      <xdr:blipFill>
        <a:blip xmlns:r="http://schemas.openxmlformats.org/officeDocument/2006/relationships" r:embed="rId1" cstate="print"/>
        <a:stretch>
          <a:fillRect/>
        </a:stretch>
      </xdr:blipFill>
      <xdr:spPr>
        <a:xfrm>
          <a:off x="2152574" y="1060824"/>
          <a:ext cx="333375" cy="314325"/>
        </a:xfrm>
        <a:prstGeom prst="rect">
          <a:avLst/>
        </a:prstGeom>
        <a:noFill/>
      </xdr:spPr>
    </xdr:pic>
    <xdr:clientData fLocksWithSheet="0"/>
  </xdr:oneCellAnchor>
  <xdr:oneCellAnchor>
    <xdr:from>
      <xdr:col>6</xdr:col>
      <xdr:colOff>628574</xdr:colOff>
      <xdr:row>4</xdr:row>
      <xdr:rowOff>164353</xdr:rowOff>
    </xdr:from>
    <xdr:ext cx="485775" cy="400050"/>
    <xdr:pic>
      <xdr:nvPicPr>
        <xdr:cNvPr id="99" name="image7.png">
          <a:extLst>
            <a:ext uri="{FF2B5EF4-FFF2-40B4-BE49-F238E27FC236}">
              <a16:creationId xmlns:a16="http://schemas.microsoft.com/office/drawing/2014/main" id="{17F7CB0F-212E-48DC-9DC2-E714E5DCADEA}"/>
            </a:ext>
          </a:extLst>
        </xdr:cNvPr>
        <xdr:cNvPicPr preferRelativeResize="0"/>
      </xdr:nvPicPr>
      <xdr:blipFill>
        <a:blip xmlns:r="http://schemas.openxmlformats.org/officeDocument/2006/relationships" r:embed="rId2" cstate="print"/>
        <a:stretch>
          <a:fillRect/>
        </a:stretch>
      </xdr:blipFill>
      <xdr:spPr>
        <a:xfrm>
          <a:off x="4662692" y="971177"/>
          <a:ext cx="485775" cy="400050"/>
        </a:xfrm>
        <a:prstGeom prst="rect">
          <a:avLst/>
        </a:prstGeom>
        <a:noFill/>
      </xdr:spPr>
    </xdr:pic>
    <xdr:clientData fLocksWithSheet="0"/>
  </xdr:oneCellAnchor>
  <xdr:oneCellAnchor>
    <xdr:from>
      <xdr:col>10</xdr:col>
      <xdr:colOff>404457</xdr:colOff>
      <xdr:row>5</xdr:row>
      <xdr:rowOff>119531</xdr:rowOff>
    </xdr:from>
    <xdr:ext cx="419100" cy="304800"/>
    <xdr:pic>
      <xdr:nvPicPr>
        <xdr:cNvPr id="101" name="image5.png">
          <a:extLst>
            <a:ext uri="{FF2B5EF4-FFF2-40B4-BE49-F238E27FC236}">
              <a16:creationId xmlns:a16="http://schemas.microsoft.com/office/drawing/2014/main" id="{7CE5ED65-AD1D-4A25-BB28-896DE27033E1}"/>
            </a:ext>
          </a:extLst>
        </xdr:cNvPr>
        <xdr:cNvPicPr preferRelativeResize="0"/>
      </xdr:nvPicPr>
      <xdr:blipFill>
        <a:blip xmlns:r="http://schemas.openxmlformats.org/officeDocument/2006/relationships" r:embed="rId3" cstate="print"/>
        <a:stretch>
          <a:fillRect/>
        </a:stretch>
      </xdr:blipFill>
      <xdr:spPr>
        <a:xfrm>
          <a:off x="7127986" y="1128060"/>
          <a:ext cx="419100" cy="304800"/>
        </a:xfrm>
        <a:prstGeom prst="rect">
          <a:avLst/>
        </a:prstGeom>
        <a:noFill/>
      </xdr:spPr>
    </xdr:pic>
    <xdr:clientData fLocksWithSheet="0"/>
  </xdr:oneCellAnchor>
  <xdr:oneCellAnchor>
    <xdr:from>
      <xdr:col>14</xdr:col>
      <xdr:colOff>411927</xdr:colOff>
      <xdr:row>5</xdr:row>
      <xdr:rowOff>82177</xdr:rowOff>
    </xdr:from>
    <xdr:ext cx="390525" cy="314325"/>
    <xdr:pic>
      <xdr:nvPicPr>
        <xdr:cNvPr id="103" name="image2.png">
          <a:extLst>
            <a:ext uri="{FF2B5EF4-FFF2-40B4-BE49-F238E27FC236}">
              <a16:creationId xmlns:a16="http://schemas.microsoft.com/office/drawing/2014/main" id="{20BFDD99-2CA8-4523-AC50-3498E0316789}"/>
            </a:ext>
          </a:extLst>
        </xdr:cNvPr>
        <xdr:cNvPicPr preferRelativeResize="0"/>
      </xdr:nvPicPr>
      <xdr:blipFill>
        <a:blip xmlns:r="http://schemas.openxmlformats.org/officeDocument/2006/relationships" r:embed="rId4" cstate="print"/>
        <a:stretch>
          <a:fillRect/>
        </a:stretch>
      </xdr:blipFill>
      <xdr:spPr>
        <a:xfrm>
          <a:off x="9824868" y="1090706"/>
          <a:ext cx="390525" cy="314325"/>
        </a:xfrm>
        <a:prstGeom prst="rect">
          <a:avLst/>
        </a:prstGeom>
        <a:noFill/>
      </xdr:spPr>
    </xdr:pic>
    <xdr:clientData fLocksWithSheet="0"/>
  </xdr:oneCellAnchor>
  <xdr:oneCellAnchor>
    <xdr:from>
      <xdr:col>18</xdr:col>
      <xdr:colOff>284927</xdr:colOff>
      <xdr:row>5</xdr:row>
      <xdr:rowOff>89647</xdr:rowOff>
    </xdr:from>
    <xdr:ext cx="295275" cy="266700"/>
    <xdr:pic>
      <xdr:nvPicPr>
        <xdr:cNvPr id="105" name="image6.png">
          <a:extLst>
            <a:ext uri="{FF2B5EF4-FFF2-40B4-BE49-F238E27FC236}">
              <a16:creationId xmlns:a16="http://schemas.microsoft.com/office/drawing/2014/main" id="{B938A8F3-714E-4CCE-9E6E-E89612098FB6}"/>
            </a:ext>
          </a:extLst>
        </xdr:cNvPr>
        <xdr:cNvPicPr preferRelativeResize="0"/>
      </xdr:nvPicPr>
      <xdr:blipFill>
        <a:blip xmlns:r="http://schemas.openxmlformats.org/officeDocument/2006/relationships" r:embed="rId5" cstate="print"/>
        <a:stretch>
          <a:fillRect/>
        </a:stretch>
      </xdr:blipFill>
      <xdr:spPr>
        <a:xfrm>
          <a:off x="12387280" y="1098176"/>
          <a:ext cx="295275" cy="266700"/>
        </a:xfrm>
        <a:prstGeom prst="rect">
          <a:avLst/>
        </a:prstGeom>
        <a:noFill/>
      </xdr:spPr>
    </xdr:pic>
    <xdr:clientData fLocksWithSheet="0"/>
  </xdr:oneCellAnchor>
  <xdr:twoCellAnchor>
    <xdr:from>
      <xdr:col>1</xdr:col>
      <xdr:colOff>455706</xdr:colOff>
      <xdr:row>0</xdr:row>
      <xdr:rowOff>164352</xdr:rowOff>
    </xdr:from>
    <xdr:to>
      <xdr:col>10</xdr:col>
      <xdr:colOff>605118</xdr:colOff>
      <xdr:row>3</xdr:row>
      <xdr:rowOff>44823</xdr:rowOff>
    </xdr:to>
    <xdr:sp macro="" textlink="">
      <xdr:nvSpPr>
        <xdr:cNvPr id="2" name="TextBox 1">
          <a:extLst>
            <a:ext uri="{FF2B5EF4-FFF2-40B4-BE49-F238E27FC236}">
              <a16:creationId xmlns:a16="http://schemas.microsoft.com/office/drawing/2014/main" id="{CD74A828-6EC6-48EB-9909-601842B12A97}"/>
            </a:ext>
          </a:extLst>
        </xdr:cNvPr>
        <xdr:cNvSpPr txBox="1"/>
      </xdr:nvSpPr>
      <xdr:spPr>
        <a:xfrm>
          <a:off x="1128059" y="164352"/>
          <a:ext cx="6200588" cy="485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rgbClr val="002060"/>
              </a:solidFill>
              <a:latin typeface="Arial Black" panose="020B0A04020102020204" pitchFamily="34" charset="0"/>
            </a:rPr>
            <a:t>HR ANALYTICS DASHBOARD</a:t>
          </a:r>
        </a:p>
      </xdr:txBody>
    </xdr:sp>
    <xdr:clientData/>
  </xdr:twoCellAnchor>
  <xdr:oneCellAnchor>
    <xdr:from>
      <xdr:col>1</xdr:col>
      <xdr:colOff>8516</xdr:colOff>
      <xdr:row>1</xdr:row>
      <xdr:rowOff>0</xdr:rowOff>
    </xdr:from>
    <xdr:ext cx="542925" cy="523875"/>
    <xdr:pic>
      <xdr:nvPicPr>
        <xdr:cNvPr id="59" name="image1.png">
          <a:extLst>
            <a:ext uri="{FF2B5EF4-FFF2-40B4-BE49-F238E27FC236}">
              <a16:creationId xmlns:a16="http://schemas.microsoft.com/office/drawing/2014/main" id="{6D6956F1-01B3-459A-992C-69E9EEE8B1DB}"/>
            </a:ext>
          </a:extLst>
        </xdr:cNvPr>
        <xdr:cNvPicPr preferRelativeResize="0"/>
      </xdr:nvPicPr>
      <xdr:blipFill>
        <a:blip xmlns:r="http://schemas.openxmlformats.org/officeDocument/2006/relationships" r:embed="rId6" cstate="print"/>
        <a:stretch>
          <a:fillRect/>
        </a:stretch>
      </xdr:blipFill>
      <xdr:spPr>
        <a:xfrm>
          <a:off x="680869" y="201706"/>
          <a:ext cx="542925" cy="523875"/>
        </a:xfrm>
        <a:prstGeom prst="rect">
          <a:avLst/>
        </a:prstGeom>
        <a:noFill/>
      </xdr:spPr>
    </xdr:pic>
    <xdr:clientData fLocksWithSheet="0"/>
  </xdr:oneCellAnchor>
  <xdr:oneCellAnchor>
    <xdr:from>
      <xdr:col>11</xdr:col>
      <xdr:colOff>634999</xdr:colOff>
      <xdr:row>1</xdr:row>
      <xdr:rowOff>22411</xdr:rowOff>
    </xdr:from>
    <xdr:ext cx="553121" cy="448236"/>
    <xdr:pic>
      <xdr:nvPicPr>
        <xdr:cNvPr id="60" name="image3.png">
          <a:extLst>
            <a:ext uri="{FF2B5EF4-FFF2-40B4-BE49-F238E27FC236}">
              <a16:creationId xmlns:a16="http://schemas.microsoft.com/office/drawing/2014/main" id="{2DDACDBB-0646-4DE2-94D3-03901887B7AA}"/>
            </a:ext>
          </a:extLst>
        </xdr:cNvPr>
        <xdr:cNvPicPr preferRelativeResize="0"/>
      </xdr:nvPicPr>
      <xdr:blipFill>
        <a:blip xmlns:r="http://schemas.openxmlformats.org/officeDocument/2006/relationships" r:embed="rId7" cstate="print"/>
        <a:stretch>
          <a:fillRect/>
        </a:stretch>
      </xdr:blipFill>
      <xdr:spPr>
        <a:xfrm>
          <a:off x="8030881" y="224117"/>
          <a:ext cx="553121" cy="448236"/>
        </a:xfrm>
        <a:prstGeom prst="rect">
          <a:avLst/>
        </a:prstGeom>
        <a:noFill/>
      </xdr:spPr>
    </xdr:pic>
    <xdr:clientData fLocksWithSheet="0"/>
  </xdr:oneCellAnchor>
  <xdr:twoCellAnchor>
    <xdr:from>
      <xdr:col>13</xdr:col>
      <xdr:colOff>67236</xdr:colOff>
      <xdr:row>0</xdr:row>
      <xdr:rowOff>179294</xdr:rowOff>
    </xdr:from>
    <xdr:to>
      <xdr:col>14</xdr:col>
      <xdr:colOff>448235</xdr:colOff>
      <xdr:row>3</xdr:row>
      <xdr:rowOff>156882</xdr:rowOff>
    </xdr:to>
    <xdr:sp macro="" textlink="">
      <xdr:nvSpPr>
        <xdr:cNvPr id="3" name="TextBox 2">
          <a:extLst>
            <a:ext uri="{FF2B5EF4-FFF2-40B4-BE49-F238E27FC236}">
              <a16:creationId xmlns:a16="http://schemas.microsoft.com/office/drawing/2014/main" id="{3C5FEBD0-E4C6-4267-80F3-93E213FA0A68}"/>
            </a:ext>
          </a:extLst>
        </xdr:cNvPr>
        <xdr:cNvSpPr txBox="1"/>
      </xdr:nvSpPr>
      <xdr:spPr>
        <a:xfrm>
          <a:off x="8807824" y="179294"/>
          <a:ext cx="1053352" cy="58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602928"/>
              </a:solidFill>
              <a:latin typeface="Arial Rounded MT Bold" panose="020F0704030504030204" pitchFamily="34" charset="0"/>
            </a:rPr>
            <a:t>JOB ANALYTICS</a:t>
          </a:r>
          <a:r>
            <a:rPr lang="en-US" sz="1000" b="1" baseline="0">
              <a:solidFill>
                <a:srgbClr val="602928"/>
              </a:solidFill>
              <a:latin typeface="Arial Rounded MT Bold" panose="020F0704030504030204" pitchFamily="34" charset="0"/>
            </a:rPr>
            <a:t> DASHBOARD</a:t>
          </a:r>
          <a:endParaRPr lang="en-US" sz="1000" b="1">
            <a:solidFill>
              <a:srgbClr val="602928"/>
            </a:solidFill>
            <a:latin typeface="Arial Rounded MT Bold" panose="020F0704030504030204" pitchFamily="34" charset="0"/>
          </a:endParaRPr>
        </a:p>
      </xdr:txBody>
    </xdr:sp>
    <xdr:clientData/>
  </xdr:twoCellAnchor>
  <xdr:twoCellAnchor>
    <xdr:from>
      <xdr:col>14</xdr:col>
      <xdr:colOff>358589</xdr:colOff>
      <xdr:row>0</xdr:row>
      <xdr:rowOff>119529</xdr:rowOff>
    </xdr:from>
    <xdr:to>
      <xdr:col>16</xdr:col>
      <xdr:colOff>590177</xdr:colOff>
      <xdr:row>5</xdr:row>
      <xdr:rowOff>164389</xdr:rowOff>
    </xdr:to>
    <xdr:graphicFrame macro="">
      <xdr:nvGraphicFramePr>
        <xdr:cNvPr id="62" name="Chart 61">
          <a:extLst>
            <a:ext uri="{FF2B5EF4-FFF2-40B4-BE49-F238E27FC236}">
              <a16:creationId xmlns:a16="http://schemas.microsoft.com/office/drawing/2014/main" id="{765E711C-3C83-4FB7-96B4-B7360A566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568809</xdr:colOff>
      <xdr:row>1</xdr:row>
      <xdr:rowOff>97117</xdr:rowOff>
    </xdr:from>
    <xdr:to>
      <xdr:col>18</xdr:col>
      <xdr:colOff>638287</xdr:colOff>
      <xdr:row>3</xdr:row>
      <xdr:rowOff>59017</xdr:rowOff>
    </xdr:to>
    <xdr:sp macro="" textlink="">
      <xdr:nvSpPr>
        <xdr:cNvPr id="58" name="Freeform: Shape 57">
          <a:extLst>
            <a:ext uri="{FF2B5EF4-FFF2-40B4-BE49-F238E27FC236}">
              <a16:creationId xmlns:a16="http://schemas.microsoft.com/office/drawing/2014/main" id="{BF3F731D-FB80-42E5-A991-FEBEB7290EEE}"/>
            </a:ext>
          </a:extLst>
        </xdr:cNvPr>
        <xdr:cNvSpPr/>
      </xdr:nvSpPr>
      <xdr:spPr>
        <a:xfrm>
          <a:off x="10654103" y="298823"/>
          <a:ext cx="2086537" cy="365312"/>
        </a:xfrm>
        <a:custGeom>
          <a:avLst/>
          <a:gdLst>
            <a:gd name="connsiteX0" fmla="*/ 1807087 w 2086537"/>
            <a:gd name="connsiteY0" fmla="*/ 0 h 365312"/>
            <a:gd name="connsiteX1" fmla="*/ 2086537 w 2086537"/>
            <a:gd name="connsiteY1" fmla="*/ 0 h 365312"/>
            <a:gd name="connsiteX2" fmla="*/ 2086537 w 2086537"/>
            <a:gd name="connsiteY2" fmla="*/ 137299 h 365312"/>
            <a:gd name="connsiteX3" fmla="*/ 1872680 w 2086537"/>
            <a:gd name="connsiteY3" fmla="*/ 137300 h 365312"/>
            <a:gd name="connsiteX4" fmla="*/ 0 w 2086537"/>
            <a:gd name="connsiteY4" fmla="*/ 0 h 365312"/>
            <a:gd name="connsiteX5" fmla="*/ 299659 w 2086537"/>
            <a:gd name="connsiteY5" fmla="*/ 0 h 365312"/>
            <a:gd name="connsiteX6" fmla="*/ 236148 w 2086537"/>
            <a:gd name="connsiteY6" fmla="*/ 137299 h 365312"/>
            <a:gd name="connsiteX7" fmla="*/ 27271 w 2086537"/>
            <a:gd name="connsiteY7" fmla="*/ 137298 h 365312"/>
            <a:gd name="connsiteX8" fmla="*/ 196257 w 2086537"/>
            <a:gd name="connsiteY8" fmla="*/ 223536 h 365312"/>
            <a:gd name="connsiteX9" fmla="*/ 131709 w 2086537"/>
            <a:gd name="connsiteY9" fmla="*/ 363073 h 365312"/>
            <a:gd name="connsiteX10" fmla="*/ 300694 w 2086537"/>
            <a:gd name="connsiteY10" fmla="*/ 276834 h 365312"/>
            <a:gd name="connsiteX11" fmla="*/ 469678 w 2086537"/>
            <a:gd name="connsiteY11" fmla="*/ 363073 h 365312"/>
            <a:gd name="connsiteX12" fmla="*/ 405130 w 2086537"/>
            <a:gd name="connsiteY12" fmla="*/ 223536 h 365312"/>
            <a:gd name="connsiteX13" fmla="*/ 574116 w 2086537"/>
            <a:gd name="connsiteY13" fmla="*/ 137298 h 365312"/>
            <a:gd name="connsiteX14" fmla="*/ 365239 w 2086537"/>
            <a:gd name="connsiteY14" fmla="*/ 137299 h 365312"/>
            <a:gd name="connsiteX15" fmla="*/ 301729 w 2086537"/>
            <a:gd name="connsiteY15" fmla="*/ 0 h 365312"/>
            <a:gd name="connsiteX16" fmla="*/ 807806 w 2086537"/>
            <a:gd name="connsiteY16" fmla="*/ 0 h 365312"/>
            <a:gd name="connsiteX17" fmla="*/ 753318 w 2086537"/>
            <a:gd name="connsiteY17" fmla="*/ 137302 h 365312"/>
            <a:gd name="connsiteX18" fmla="*/ 574117 w 2086537"/>
            <a:gd name="connsiteY18" fmla="*/ 137301 h 365312"/>
            <a:gd name="connsiteX19" fmla="*/ 719095 w 2086537"/>
            <a:gd name="connsiteY19" fmla="*/ 223539 h 365312"/>
            <a:gd name="connsiteX20" fmla="*/ 663717 w 2086537"/>
            <a:gd name="connsiteY20" fmla="*/ 363076 h 365312"/>
            <a:gd name="connsiteX21" fmla="*/ 808693 w 2086537"/>
            <a:gd name="connsiteY21" fmla="*/ 276837 h 365312"/>
            <a:gd name="connsiteX22" fmla="*/ 953669 w 2086537"/>
            <a:gd name="connsiteY22" fmla="*/ 363076 h 365312"/>
            <a:gd name="connsiteX23" fmla="*/ 898291 w 2086537"/>
            <a:gd name="connsiteY23" fmla="*/ 223539 h 365312"/>
            <a:gd name="connsiteX24" fmla="*/ 1043269 w 2086537"/>
            <a:gd name="connsiteY24" fmla="*/ 137301 h 365312"/>
            <a:gd name="connsiteX25" fmla="*/ 864068 w 2086537"/>
            <a:gd name="connsiteY25" fmla="*/ 137302 h 365312"/>
            <a:gd name="connsiteX26" fmla="*/ 809580 w 2086537"/>
            <a:gd name="connsiteY26" fmla="*/ 0 h 365312"/>
            <a:gd name="connsiteX27" fmla="*/ 1288166 w 2086537"/>
            <a:gd name="connsiteY27" fmla="*/ 0 h 365312"/>
            <a:gd name="connsiteX28" fmla="*/ 1233679 w 2086537"/>
            <a:gd name="connsiteY28" fmla="*/ 137301 h 365312"/>
            <a:gd name="connsiteX29" fmla="*/ 1054478 w 2086537"/>
            <a:gd name="connsiteY29" fmla="*/ 137300 h 365312"/>
            <a:gd name="connsiteX30" fmla="*/ 1199456 w 2086537"/>
            <a:gd name="connsiteY30" fmla="*/ 223538 h 365312"/>
            <a:gd name="connsiteX31" fmla="*/ 1144078 w 2086537"/>
            <a:gd name="connsiteY31" fmla="*/ 363075 h 365312"/>
            <a:gd name="connsiteX32" fmla="*/ 1289054 w 2086537"/>
            <a:gd name="connsiteY32" fmla="*/ 276835 h 365312"/>
            <a:gd name="connsiteX33" fmla="*/ 1434030 w 2086537"/>
            <a:gd name="connsiteY33" fmla="*/ 363075 h 365312"/>
            <a:gd name="connsiteX34" fmla="*/ 1378652 w 2086537"/>
            <a:gd name="connsiteY34" fmla="*/ 223538 h 365312"/>
            <a:gd name="connsiteX35" fmla="*/ 1523630 w 2086537"/>
            <a:gd name="connsiteY35" fmla="*/ 137300 h 365312"/>
            <a:gd name="connsiteX36" fmla="*/ 1344429 w 2086537"/>
            <a:gd name="connsiteY36" fmla="*/ 137301 h 365312"/>
            <a:gd name="connsiteX37" fmla="*/ 1289942 w 2086537"/>
            <a:gd name="connsiteY37" fmla="*/ 0 h 365312"/>
            <a:gd name="connsiteX38" fmla="*/ 1804949 w 2086537"/>
            <a:gd name="connsiteY38" fmla="*/ 0 h 365312"/>
            <a:gd name="connsiteX39" fmla="*/ 1739356 w 2086537"/>
            <a:gd name="connsiteY39" fmla="*/ 137300 h 365312"/>
            <a:gd name="connsiteX40" fmla="*/ 1523631 w 2086537"/>
            <a:gd name="connsiteY40" fmla="*/ 137299 h 365312"/>
            <a:gd name="connsiteX41" fmla="*/ 1698157 w 2086537"/>
            <a:gd name="connsiteY41" fmla="*/ 223537 h 365312"/>
            <a:gd name="connsiteX42" fmla="*/ 1631493 w 2086537"/>
            <a:gd name="connsiteY42" fmla="*/ 363074 h 365312"/>
            <a:gd name="connsiteX43" fmla="*/ 1806018 w 2086537"/>
            <a:gd name="connsiteY43" fmla="*/ 276834 h 365312"/>
            <a:gd name="connsiteX44" fmla="*/ 1980543 w 2086537"/>
            <a:gd name="connsiteY44" fmla="*/ 363074 h 365312"/>
            <a:gd name="connsiteX45" fmla="*/ 1913879 w 2086537"/>
            <a:gd name="connsiteY45" fmla="*/ 223537 h 365312"/>
            <a:gd name="connsiteX46" fmla="*/ 2086537 w 2086537"/>
            <a:gd name="connsiteY46" fmla="*/ 138222 h 365312"/>
            <a:gd name="connsiteX47" fmla="*/ 2086537 w 2086537"/>
            <a:gd name="connsiteY47" fmla="*/ 365312 h 365312"/>
            <a:gd name="connsiteX48" fmla="*/ 0 w 2086537"/>
            <a:gd name="connsiteY48" fmla="*/ 365312 h 3653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086537" h="365312">
              <a:moveTo>
                <a:pt x="1807087" y="0"/>
              </a:moveTo>
              <a:lnTo>
                <a:pt x="2086537" y="0"/>
              </a:lnTo>
              <a:lnTo>
                <a:pt x="2086537" y="137299"/>
              </a:lnTo>
              <a:lnTo>
                <a:pt x="1872680" y="137300"/>
              </a:lnTo>
              <a:close/>
              <a:moveTo>
                <a:pt x="0" y="0"/>
              </a:moveTo>
              <a:lnTo>
                <a:pt x="299659" y="0"/>
              </a:lnTo>
              <a:lnTo>
                <a:pt x="236148" y="137299"/>
              </a:lnTo>
              <a:lnTo>
                <a:pt x="27271" y="137298"/>
              </a:lnTo>
              <a:lnTo>
                <a:pt x="196257" y="223536"/>
              </a:lnTo>
              <a:lnTo>
                <a:pt x="131709" y="363073"/>
              </a:lnTo>
              <a:lnTo>
                <a:pt x="300694" y="276834"/>
              </a:lnTo>
              <a:lnTo>
                <a:pt x="469678" y="363073"/>
              </a:lnTo>
              <a:lnTo>
                <a:pt x="405130" y="223536"/>
              </a:lnTo>
              <a:lnTo>
                <a:pt x="574116" y="137298"/>
              </a:lnTo>
              <a:lnTo>
                <a:pt x="365239" y="137299"/>
              </a:lnTo>
              <a:lnTo>
                <a:pt x="301729" y="0"/>
              </a:lnTo>
              <a:lnTo>
                <a:pt x="807806" y="0"/>
              </a:lnTo>
              <a:lnTo>
                <a:pt x="753318" y="137302"/>
              </a:lnTo>
              <a:lnTo>
                <a:pt x="574117" y="137301"/>
              </a:lnTo>
              <a:lnTo>
                <a:pt x="719095" y="223539"/>
              </a:lnTo>
              <a:lnTo>
                <a:pt x="663717" y="363076"/>
              </a:lnTo>
              <a:lnTo>
                <a:pt x="808693" y="276837"/>
              </a:lnTo>
              <a:lnTo>
                <a:pt x="953669" y="363076"/>
              </a:lnTo>
              <a:lnTo>
                <a:pt x="898291" y="223539"/>
              </a:lnTo>
              <a:lnTo>
                <a:pt x="1043269" y="137301"/>
              </a:lnTo>
              <a:lnTo>
                <a:pt x="864068" y="137302"/>
              </a:lnTo>
              <a:lnTo>
                <a:pt x="809580" y="0"/>
              </a:lnTo>
              <a:lnTo>
                <a:pt x="1288166" y="0"/>
              </a:lnTo>
              <a:lnTo>
                <a:pt x="1233679" y="137301"/>
              </a:lnTo>
              <a:lnTo>
                <a:pt x="1054478" y="137300"/>
              </a:lnTo>
              <a:lnTo>
                <a:pt x="1199456" y="223538"/>
              </a:lnTo>
              <a:lnTo>
                <a:pt x="1144078" y="363075"/>
              </a:lnTo>
              <a:lnTo>
                <a:pt x="1289054" y="276835"/>
              </a:lnTo>
              <a:lnTo>
                <a:pt x="1434030" y="363075"/>
              </a:lnTo>
              <a:lnTo>
                <a:pt x="1378652" y="223538"/>
              </a:lnTo>
              <a:lnTo>
                <a:pt x="1523630" y="137300"/>
              </a:lnTo>
              <a:lnTo>
                <a:pt x="1344429" y="137301"/>
              </a:lnTo>
              <a:lnTo>
                <a:pt x="1289942" y="0"/>
              </a:lnTo>
              <a:lnTo>
                <a:pt x="1804949" y="0"/>
              </a:lnTo>
              <a:lnTo>
                <a:pt x="1739356" y="137300"/>
              </a:lnTo>
              <a:lnTo>
                <a:pt x="1523631" y="137299"/>
              </a:lnTo>
              <a:lnTo>
                <a:pt x="1698157" y="223537"/>
              </a:lnTo>
              <a:lnTo>
                <a:pt x="1631493" y="363074"/>
              </a:lnTo>
              <a:lnTo>
                <a:pt x="1806018" y="276834"/>
              </a:lnTo>
              <a:lnTo>
                <a:pt x="1980543" y="363074"/>
              </a:lnTo>
              <a:lnTo>
                <a:pt x="1913879" y="223537"/>
              </a:lnTo>
              <a:lnTo>
                <a:pt x="2086537" y="138222"/>
              </a:lnTo>
              <a:lnTo>
                <a:pt x="2086537" y="365312"/>
              </a:lnTo>
              <a:lnTo>
                <a:pt x="0" y="365312"/>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165397</xdr:colOff>
      <xdr:row>12</xdr:row>
      <xdr:rowOff>67234</xdr:rowOff>
    </xdr:from>
    <xdr:to>
      <xdr:col>1</xdr:col>
      <xdr:colOff>575235</xdr:colOff>
      <xdr:row>17</xdr:row>
      <xdr:rowOff>126999</xdr:rowOff>
    </xdr:to>
    <xdr:graphicFrame macro="">
      <xdr:nvGraphicFramePr>
        <xdr:cNvPr id="61" name="Chart 60">
          <a:extLst>
            <a:ext uri="{FF2B5EF4-FFF2-40B4-BE49-F238E27FC236}">
              <a16:creationId xmlns:a16="http://schemas.microsoft.com/office/drawing/2014/main" id="{A3B6D568-4FE9-42A8-B68A-639B5FC75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217692</xdr:colOff>
      <xdr:row>12</xdr:row>
      <xdr:rowOff>22412</xdr:rowOff>
    </xdr:from>
    <xdr:to>
      <xdr:col>5</xdr:col>
      <xdr:colOff>627530</xdr:colOff>
      <xdr:row>17</xdr:row>
      <xdr:rowOff>82177</xdr:rowOff>
    </xdr:to>
    <xdr:graphicFrame macro="">
      <xdr:nvGraphicFramePr>
        <xdr:cNvPr id="63" name="Chart 62">
          <a:extLst>
            <a:ext uri="{FF2B5EF4-FFF2-40B4-BE49-F238E27FC236}">
              <a16:creationId xmlns:a16="http://schemas.microsoft.com/office/drawing/2014/main" id="{AE8D1C8F-21C4-45FC-9853-97F1D6092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328705</xdr:colOff>
      <xdr:row>13</xdr:row>
      <xdr:rowOff>44825</xdr:rowOff>
    </xdr:from>
    <xdr:to>
      <xdr:col>4</xdr:col>
      <xdr:colOff>336176</xdr:colOff>
      <xdr:row>16</xdr:row>
      <xdr:rowOff>119531</xdr:rowOff>
    </xdr:to>
    <xdr:pic>
      <xdr:nvPicPr>
        <xdr:cNvPr id="5" name="Graphic 4" descr="Male profile with solid fill">
          <a:extLst>
            <a:ext uri="{FF2B5EF4-FFF2-40B4-BE49-F238E27FC236}">
              <a16:creationId xmlns:a16="http://schemas.microsoft.com/office/drawing/2014/main" id="{0AA82D32-30E4-4F6A-89DA-35F1FA8CD83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345764" y="2667001"/>
          <a:ext cx="679824" cy="679824"/>
        </a:xfrm>
        <a:prstGeom prst="rect">
          <a:avLst/>
        </a:prstGeom>
      </xdr:spPr>
    </xdr:pic>
    <xdr:clientData/>
  </xdr:twoCellAnchor>
  <xdr:twoCellAnchor editAs="oneCell">
    <xdr:from>
      <xdr:col>1</xdr:col>
      <xdr:colOff>455707</xdr:colOff>
      <xdr:row>13</xdr:row>
      <xdr:rowOff>74707</xdr:rowOff>
    </xdr:from>
    <xdr:to>
      <xdr:col>2</xdr:col>
      <xdr:colOff>440765</xdr:colOff>
      <xdr:row>16</xdr:row>
      <xdr:rowOff>127000</xdr:rowOff>
    </xdr:to>
    <xdr:pic>
      <xdr:nvPicPr>
        <xdr:cNvPr id="7" name="Graphic 6" descr="Female Profile with solid fill">
          <a:extLst>
            <a:ext uri="{FF2B5EF4-FFF2-40B4-BE49-F238E27FC236}">
              <a16:creationId xmlns:a16="http://schemas.microsoft.com/office/drawing/2014/main" id="{7781D430-263B-421D-BFDA-D5A1D67D6E1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28060" y="2696883"/>
          <a:ext cx="657411" cy="657411"/>
        </a:xfrm>
        <a:prstGeom prst="rect">
          <a:avLst/>
        </a:prstGeom>
      </xdr:spPr>
    </xdr:pic>
    <xdr:clientData/>
  </xdr:twoCellAnchor>
  <xdr:twoCellAnchor>
    <xdr:from>
      <xdr:col>0</xdr:col>
      <xdr:colOff>381000</xdr:colOff>
      <xdr:row>8</xdr:row>
      <xdr:rowOff>37354</xdr:rowOff>
    </xdr:from>
    <xdr:to>
      <xdr:col>4</xdr:col>
      <xdr:colOff>582706</xdr:colOff>
      <xdr:row>9</xdr:row>
      <xdr:rowOff>82176</xdr:rowOff>
    </xdr:to>
    <xdr:sp macro="" textlink="">
      <xdr:nvSpPr>
        <xdr:cNvPr id="8" name="TextBox 7">
          <a:extLst>
            <a:ext uri="{FF2B5EF4-FFF2-40B4-BE49-F238E27FC236}">
              <a16:creationId xmlns:a16="http://schemas.microsoft.com/office/drawing/2014/main" id="{37D411F1-FA4F-4322-BEDB-5E115037F57A}"/>
            </a:ext>
          </a:extLst>
        </xdr:cNvPr>
        <xdr:cNvSpPr txBox="1"/>
      </xdr:nvSpPr>
      <xdr:spPr>
        <a:xfrm>
          <a:off x="381000" y="1651001"/>
          <a:ext cx="2891118" cy="246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rPr>
            <a:t>Total Employees By Number</a:t>
          </a:r>
        </a:p>
      </xdr:txBody>
    </xdr:sp>
    <xdr:clientData/>
  </xdr:twoCellAnchor>
  <xdr:twoCellAnchor editAs="oneCell">
    <xdr:from>
      <xdr:col>1</xdr:col>
      <xdr:colOff>142986</xdr:colOff>
      <xdr:row>9</xdr:row>
      <xdr:rowOff>134472</xdr:rowOff>
    </xdr:from>
    <xdr:to>
      <xdr:col>3</xdr:col>
      <xdr:colOff>627080</xdr:colOff>
      <xdr:row>13</xdr:row>
      <xdr:rowOff>7471</xdr:rowOff>
    </xdr:to>
    <mc:AlternateContent xmlns:mc="http://schemas.openxmlformats.org/markup-compatibility/2006">
      <mc:Choice xmlns:a14="http://schemas.microsoft.com/office/drawing/2010/main" Requires="a14">
        <xdr:graphicFrame macro="">
          <xdr:nvGraphicFramePr>
            <xdr:cNvPr id="65" name="Gender 3">
              <a:extLst>
                <a:ext uri="{FF2B5EF4-FFF2-40B4-BE49-F238E27FC236}">
                  <a16:creationId xmlns:a16="http://schemas.microsoft.com/office/drawing/2014/main" id="{23E88CB7-F40D-40E8-ADF1-6B923C2C891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815339" y="1949825"/>
              <a:ext cx="1828800" cy="679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471692</xdr:colOff>
      <xdr:row>9</xdr:row>
      <xdr:rowOff>156883</xdr:rowOff>
    </xdr:from>
    <xdr:to>
      <xdr:col>11</xdr:col>
      <xdr:colOff>552824</xdr:colOff>
      <xdr:row>18</xdr:row>
      <xdr:rowOff>59765</xdr:rowOff>
    </xdr:to>
    <xdr:graphicFrame macro="">
      <xdr:nvGraphicFramePr>
        <xdr:cNvPr id="66" name="Chart 65">
          <a:extLst>
            <a:ext uri="{FF2B5EF4-FFF2-40B4-BE49-F238E27FC236}">
              <a16:creationId xmlns:a16="http://schemas.microsoft.com/office/drawing/2014/main" id="{B97133D2-4717-46E3-95E1-8F89C1913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165399</xdr:colOff>
      <xdr:row>8</xdr:row>
      <xdr:rowOff>22411</xdr:rowOff>
    </xdr:from>
    <xdr:to>
      <xdr:col>10</xdr:col>
      <xdr:colOff>367106</xdr:colOff>
      <xdr:row>9</xdr:row>
      <xdr:rowOff>156882</xdr:rowOff>
    </xdr:to>
    <xdr:sp macro="" textlink="">
      <xdr:nvSpPr>
        <xdr:cNvPr id="68" name="TextBox 67">
          <a:extLst>
            <a:ext uri="{FF2B5EF4-FFF2-40B4-BE49-F238E27FC236}">
              <a16:creationId xmlns:a16="http://schemas.microsoft.com/office/drawing/2014/main" id="{E50EC1F1-8A7F-4E35-99DD-4F73B9EE43FA}"/>
            </a:ext>
          </a:extLst>
        </xdr:cNvPr>
        <xdr:cNvSpPr txBox="1"/>
      </xdr:nvSpPr>
      <xdr:spPr>
        <a:xfrm>
          <a:off x="4199517" y="1636058"/>
          <a:ext cx="2891118"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rPr>
            <a:t>Education</a:t>
          </a:r>
          <a:r>
            <a:rPr lang="en-US" sz="1200" b="1" baseline="0">
              <a:solidFill>
                <a:srgbClr val="C00000"/>
              </a:solidFill>
            </a:rPr>
            <a:t> By Attrition</a:t>
          </a:r>
        </a:p>
        <a:p>
          <a:endParaRPr lang="en-US" sz="1200" b="1">
            <a:solidFill>
              <a:srgbClr val="C00000"/>
            </a:solidFill>
          </a:endParaRPr>
        </a:p>
      </xdr:txBody>
    </xdr:sp>
    <xdr:clientData/>
  </xdr:twoCellAnchor>
  <xdr:twoCellAnchor>
    <xdr:from>
      <xdr:col>13</xdr:col>
      <xdr:colOff>322281</xdr:colOff>
      <xdr:row>9</xdr:row>
      <xdr:rowOff>141941</xdr:rowOff>
    </xdr:from>
    <xdr:to>
      <xdr:col>18</xdr:col>
      <xdr:colOff>279026</xdr:colOff>
      <xdr:row>18</xdr:row>
      <xdr:rowOff>60138</xdr:rowOff>
    </xdr:to>
    <mc:AlternateContent xmlns:mc="http://schemas.openxmlformats.org/markup-compatibility/2006">
      <mc:Choice xmlns:cx1="http://schemas.microsoft.com/office/drawing/2015/9/8/chartex" Requires="cx1">
        <xdr:graphicFrame macro="">
          <xdr:nvGraphicFramePr>
            <xdr:cNvPr id="69" name="Chart 68">
              <a:extLst>
                <a:ext uri="{FF2B5EF4-FFF2-40B4-BE49-F238E27FC236}">
                  <a16:creationId xmlns:a16="http://schemas.microsoft.com/office/drawing/2014/main" id="{8940EA81-D8C5-42F8-8B89-F63D2D5574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062869" y="1957294"/>
              <a:ext cx="3318510" cy="1733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75752</xdr:colOff>
      <xdr:row>8</xdr:row>
      <xdr:rowOff>22412</xdr:rowOff>
    </xdr:from>
    <xdr:to>
      <xdr:col>17</xdr:col>
      <xdr:colOff>277458</xdr:colOff>
      <xdr:row>9</xdr:row>
      <xdr:rowOff>156883</xdr:rowOff>
    </xdr:to>
    <xdr:sp macro="" textlink="">
      <xdr:nvSpPr>
        <xdr:cNvPr id="71" name="TextBox 70">
          <a:extLst>
            <a:ext uri="{FF2B5EF4-FFF2-40B4-BE49-F238E27FC236}">
              <a16:creationId xmlns:a16="http://schemas.microsoft.com/office/drawing/2014/main" id="{6004B145-3F30-455C-A4F0-EA3A431B7071}"/>
            </a:ext>
          </a:extLst>
        </xdr:cNvPr>
        <xdr:cNvSpPr txBox="1"/>
      </xdr:nvSpPr>
      <xdr:spPr>
        <a:xfrm>
          <a:off x="8816340" y="1636059"/>
          <a:ext cx="2891118"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C00000"/>
              </a:solidFill>
            </a:rPr>
            <a:t>Attrition By Job Role</a:t>
          </a:r>
        </a:p>
        <a:p>
          <a:endParaRPr lang="en-US" sz="1200" b="1" baseline="0">
            <a:solidFill>
              <a:srgbClr val="C00000"/>
            </a:solidFill>
          </a:endParaRPr>
        </a:p>
        <a:p>
          <a:endParaRPr lang="en-US" sz="1200" b="1">
            <a:solidFill>
              <a:srgbClr val="C00000"/>
            </a:solidFill>
          </a:endParaRPr>
        </a:p>
      </xdr:txBody>
    </xdr:sp>
    <xdr:clientData/>
  </xdr:twoCellAnchor>
  <xdr:twoCellAnchor>
    <xdr:from>
      <xdr:col>0</xdr:col>
      <xdr:colOff>500528</xdr:colOff>
      <xdr:row>20</xdr:row>
      <xdr:rowOff>134471</xdr:rowOff>
    </xdr:from>
    <xdr:to>
      <xdr:col>5</xdr:col>
      <xdr:colOff>56252</xdr:colOff>
      <xdr:row>28</xdr:row>
      <xdr:rowOff>127000</xdr:rowOff>
    </xdr:to>
    <xdr:graphicFrame macro="">
      <xdr:nvGraphicFramePr>
        <xdr:cNvPr id="72" name="Chart 71">
          <a:extLst>
            <a:ext uri="{FF2B5EF4-FFF2-40B4-BE49-F238E27FC236}">
              <a16:creationId xmlns:a16="http://schemas.microsoft.com/office/drawing/2014/main" id="{5CB90C51-AFEC-4362-95AD-023E14F7F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344693</xdr:colOff>
      <xdr:row>18</xdr:row>
      <xdr:rowOff>171823</xdr:rowOff>
    </xdr:from>
    <xdr:to>
      <xdr:col>4</xdr:col>
      <xdr:colOff>546399</xdr:colOff>
      <xdr:row>20</xdr:row>
      <xdr:rowOff>14939</xdr:rowOff>
    </xdr:to>
    <xdr:sp macro="" textlink="">
      <xdr:nvSpPr>
        <xdr:cNvPr id="73" name="TextBox 72">
          <a:extLst>
            <a:ext uri="{FF2B5EF4-FFF2-40B4-BE49-F238E27FC236}">
              <a16:creationId xmlns:a16="http://schemas.microsoft.com/office/drawing/2014/main" id="{B6851F6A-FA3B-450D-8BD6-A7293203FC16}"/>
            </a:ext>
          </a:extLst>
        </xdr:cNvPr>
        <xdr:cNvSpPr txBox="1"/>
      </xdr:nvSpPr>
      <xdr:spPr>
        <a:xfrm>
          <a:off x="344693" y="3802529"/>
          <a:ext cx="2891118" cy="246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rPr>
            <a:t>Department</a:t>
          </a:r>
          <a:r>
            <a:rPr lang="en-US" sz="1200" b="1" baseline="0">
              <a:solidFill>
                <a:srgbClr val="C00000"/>
              </a:solidFill>
            </a:rPr>
            <a:t> wise Attrition</a:t>
          </a:r>
        </a:p>
        <a:p>
          <a:endParaRPr lang="en-US" sz="1200" b="1">
            <a:solidFill>
              <a:srgbClr val="C00000"/>
            </a:solidFill>
          </a:endParaRPr>
        </a:p>
      </xdr:txBody>
    </xdr:sp>
    <xdr:clientData/>
  </xdr:twoCellAnchor>
  <xdr:twoCellAnchor>
    <xdr:from>
      <xdr:col>6</xdr:col>
      <xdr:colOff>135516</xdr:colOff>
      <xdr:row>20</xdr:row>
      <xdr:rowOff>67235</xdr:rowOff>
    </xdr:from>
    <xdr:to>
      <xdr:col>10</xdr:col>
      <xdr:colOff>186765</xdr:colOff>
      <xdr:row>28</xdr:row>
      <xdr:rowOff>67235</xdr:rowOff>
    </xdr:to>
    <xdr:graphicFrame macro="">
      <xdr:nvGraphicFramePr>
        <xdr:cNvPr id="74" name="Chart 73">
          <a:extLst>
            <a:ext uri="{FF2B5EF4-FFF2-40B4-BE49-F238E27FC236}">
              <a16:creationId xmlns:a16="http://schemas.microsoft.com/office/drawing/2014/main" id="{21A0E517-2731-4027-AC38-5FC2AC294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83222</xdr:colOff>
      <xdr:row>18</xdr:row>
      <xdr:rowOff>171823</xdr:rowOff>
    </xdr:from>
    <xdr:to>
      <xdr:col>10</xdr:col>
      <xdr:colOff>284929</xdr:colOff>
      <xdr:row>20</xdr:row>
      <xdr:rowOff>14939</xdr:rowOff>
    </xdr:to>
    <xdr:sp macro="" textlink="">
      <xdr:nvSpPr>
        <xdr:cNvPr id="78" name="TextBox 77">
          <a:extLst>
            <a:ext uri="{FF2B5EF4-FFF2-40B4-BE49-F238E27FC236}">
              <a16:creationId xmlns:a16="http://schemas.microsoft.com/office/drawing/2014/main" id="{825F8C67-718F-4554-86BF-07AF510B275F}"/>
            </a:ext>
          </a:extLst>
        </xdr:cNvPr>
        <xdr:cNvSpPr txBox="1"/>
      </xdr:nvSpPr>
      <xdr:spPr>
        <a:xfrm>
          <a:off x="4117340" y="3802529"/>
          <a:ext cx="2891118" cy="246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C00000"/>
              </a:solidFill>
            </a:rPr>
            <a:t>Age wise Attrition</a:t>
          </a:r>
        </a:p>
        <a:p>
          <a:endParaRPr lang="en-US" sz="1200" b="1">
            <a:solidFill>
              <a:srgbClr val="C00000"/>
            </a:solidFill>
          </a:endParaRPr>
        </a:p>
      </xdr:txBody>
    </xdr:sp>
    <xdr:clientData/>
  </xdr:twoCellAnchor>
  <xdr:twoCellAnchor>
    <xdr:from>
      <xdr:col>11</xdr:col>
      <xdr:colOff>254000</xdr:colOff>
      <xdr:row>20</xdr:row>
      <xdr:rowOff>156882</xdr:rowOff>
    </xdr:from>
    <xdr:to>
      <xdr:col>14</xdr:col>
      <xdr:colOff>567391</xdr:colOff>
      <xdr:row>28</xdr:row>
      <xdr:rowOff>82176</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80926BC9-5A63-41F3-86B8-B1D7366EB2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7649882" y="4191000"/>
              <a:ext cx="2330450" cy="15389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240105</xdr:colOff>
      <xdr:row>18</xdr:row>
      <xdr:rowOff>179294</xdr:rowOff>
    </xdr:from>
    <xdr:to>
      <xdr:col>15</xdr:col>
      <xdr:colOff>441811</xdr:colOff>
      <xdr:row>20</xdr:row>
      <xdr:rowOff>22410</xdr:rowOff>
    </xdr:to>
    <xdr:sp macro="" textlink="">
      <xdr:nvSpPr>
        <xdr:cNvPr id="83" name="TextBox 82">
          <a:extLst>
            <a:ext uri="{FF2B5EF4-FFF2-40B4-BE49-F238E27FC236}">
              <a16:creationId xmlns:a16="http://schemas.microsoft.com/office/drawing/2014/main" id="{B09DD486-534A-48BD-89C2-97220A8C5068}"/>
            </a:ext>
          </a:extLst>
        </xdr:cNvPr>
        <xdr:cNvSpPr txBox="1"/>
      </xdr:nvSpPr>
      <xdr:spPr>
        <a:xfrm>
          <a:off x="7635987" y="3810000"/>
          <a:ext cx="2891118" cy="246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C00000"/>
              </a:solidFill>
            </a:rPr>
            <a:t>Attrition By Marital Status</a:t>
          </a:r>
        </a:p>
        <a:p>
          <a:endParaRPr lang="en-US" sz="1200" b="1">
            <a:solidFill>
              <a:srgbClr val="C00000"/>
            </a:solidFill>
          </a:endParaRPr>
        </a:p>
      </xdr:txBody>
    </xdr:sp>
    <xdr:clientData/>
  </xdr:twoCellAnchor>
  <xdr:twoCellAnchor editAs="oneCell">
    <xdr:from>
      <xdr:col>15</xdr:col>
      <xdr:colOff>202751</xdr:colOff>
      <xdr:row>20</xdr:row>
      <xdr:rowOff>104588</xdr:rowOff>
    </xdr:from>
    <xdr:to>
      <xdr:col>16</xdr:col>
      <xdr:colOff>612588</xdr:colOff>
      <xdr:row>27</xdr:row>
      <xdr:rowOff>156882</xdr:rowOff>
    </xdr:to>
    <mc:AlternateContent xmlns:mc="http://schemas.openxmlformats.org/markup-compatibility/2006">
      <mc:Choice xmlns:a14="http://schemas.microsoft.com/office/drawing/2010/main" Requires="a14">
        <xdr:graphicFrame macro="">
          <xdr:nvGraphicFramePr>
            <xdr:cNvPr id="104" name="Department 1">
              <a:extLst>
                <a:ext uri="{FF2B5EF4-FFF2-40B4-BE49-F238E27FC236}">
                  <a16:creationId xmlns:a16="http://schemas.microsoft.com/office/drawing/2014/main" id="{B403F2CF-A9AD-4CDF-8CF8-BC007859A9E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288045" y="4138706"/>
              <a:ext cx="1082190" cy="1464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8518</xdr:colOff>
      <xdr:row>20</xdr:row>
      <xdr:rowOff>52293</xdr:rowOff>
    </xdr:from>
    <xdr:to>
      <xdr:col>18</xdr:col>
      <xdr:colOff>642472</xdr:colOff>
      <xdr:row>28</xdr:row>
      <xdr:rowOff>82176</xdr:rowOff>
    </xdr:to>
    <mc:AlternateContent xmlns:mc="http://schemas.openxmlformats.org/markup-compatibility/2006">
      <mc:Choice xmlns:a14="http://schemas.microsoft.com/office/drawing/2010/main" Requires="a14">
        <xdr:graphicFrame macro="">
          <xdr:nvGraphicFramePr>
            <xdr:cNvPr id="107" name="Education Field 3">
              <a:extLst>
                <a:ext uri="{FF2B5EF4-FFF2-40B4-BE49-F238E27FC236}">
                  <a16:creationId xmlns:a16="http://schemas.microsoft.com/office/drawing/2014/main" id="{5CDC0C04-1F18-4297-9577-A49AC29DA4BD}"/>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1438518" y="4086411"/>
              <a:ext cx="1306307" cy="1643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0.13744</cdr:x>
      <cdr:y>0.24113</cdr:y>
    </cdr:from>
    <cdr:to>
      <cdr:x>0.38862</cdr:x>
      <cdr:y>0.46807</cdr:y>
    </cdr:to>
    <cdr:sp macro="" textlink="Rating!$B$6">
      <cdr:nvSpPr>
        <cdr:cNvPr id="2" name="TextBox 1">
          <a:extLst xmlns:a="http://schemas.openxmlformats.org/drawingml/2006/main">
            <a:ext uri="{FF2B5EF4-FFF2-40B4-BE49-F238E27FC236}">
              <a16:creationId xmlns:a16="http://schemas.microsoft.com/office/drawing/2014/main" id="{7C4F4B02-CD5D-4773-81D0-FFD116D61C08}"/>
            </a:ext>
          </a:extLst>
        </cdr:cNvPr>
        <cdr:cNvSpPr txBox="1"/>
      </cdr:nvSpPr>
      <cdr:spPr>
        <a:xfrm xmlns:a="http://schemas.openxmlformats.org/drawingml/2006/main">
          <a:off x="216646" y="254000"/>
          <a:ext cx="395941" cy="2390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913B84B9-2C90-4640-8A98-D17387B73368}" type="TxLink">
            <a:rPr lang="en-US" sz="1200" b="0" i="0" u="none" strike="noStrike">
              <a:solidFill>
                <a:schemeClr val="accent6">
                  <a:lumMod val="75000"/>
                </a:schemeClr>
              </a:solidFill>
              <a:latin typeface="Calibri"/>
              <a:ea typeface="Calibri"/>
              <a:cs typeface="Calibri"/>
            </a:rPr>
            <a:pPr/>
            <a:t>3.2</a:t>
          </a:fld>
          <a:endParaRPr lang="en-US" sz="1100">
            <a:solidFill>
              <a:schemeClr val="accent6">
                <a:lumMod val="75000"/>
              </a:schemeClr>
            </a:solidFill>
            <a:latin typeface="Arial Rounded MT Bold" panose="020F070403050403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0.31617</cdr:x>
      <cdr:y>0.36224</cdr:y>
    </cdr:from>
    <cdr:to>
      <cdr:x>0.74458</cdr:x>
      <cdr:y>0.6014</cdr:y>
    </cdr:to>
    <cdr:sp macro="" textlink="Gender!$C$9">
      <cdr:nvSpPr>
        <cdr:cNvPr id="2" name="TextBox 1">
          <a:extLst xmlns:a="http://schemas.openxmlformats.org/drawingml/2006/main">
            <a:ext uri="{FF2B5EF4-FFF2-40B4-BE49-F238E27FC236}">
              <a16:creationId xmlns:a16="http://schemas.microsoft.com/office/drawing/2014/main" id="{6EB6C254-E575-4D47-B95B-E39FD2BB5CCE}"/>
            </a:ext>
          </a:extLst>
        </cdr:cNvPr>
        <cdr:cNvSpPr txBox="1"/>
      </cdr:nvSpPr>
      <cdr:spPr>
        <a:xfrm xmlns:a="http://schemas.openxmlformats.org/drawingml/2006/main">
          <a:off x="342153" y="386977"/>
          <a:ext cx="463626" cy="25549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0BC99394-4928-4FFC-BFA5-E7DBE04E5225}" type="TxLink">
            <a:rPr lang="en-US" sz="1200" b="0" i="0" u="none" strike="noStrike">
              <a:solidFill>
                <a:srgbClr val="000000"/>
              </a:solidFill>
              <a:latin typeface="Bahnschrift Condensed" panose="020B0502040204020203" pitchFamily="34" charset="0"/>
              <a:ea typeface="Calibri"/>
              <a:cs typeface="Calibri"/>
            </a:rPr>
            <a:t>41%</a:t>
          </a:fld>
          <a:endParaRPr lang="en-US" sz="1100">
            <a:solidFill>
              <a:schemeClr val="accent6">
                <a:lumMod val="75000"/>
              </a:schemeClr>
            </a:solidFill>
            <a:latin typeface="Bahnschrift Condensed" panose="020B0502040204020203"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0.31617</cdr:x>
      <cdr:y>0.39021</cdr:y>
    </cdr:from>
    <cdr:to>
      <cdr:x>0.74458</cdr:x>
      <cdr:y>0.62937</cdr:y>
    </cdr:to>
    <cdr:sp macro="" textlink="Gender!$C$10">
      <cdr:nvSpPr>
        <cdr:cNvPr id="6" name="TextBox 1">
          <a:extLst xmlns:a="http://schemas.openxmlformats.org/drawingml/2006/main">
            <a:ext uri="{FF2B5EF4-FFF2-40B4-BE49-F238E27FC236}">
              <a16:creationId xmlns:a16="http://schemas.microsoft.com/office/drawing/2014/main" id="{20229828-1AAF-4B4A-8B16-2B7B4C601BA2}"/>
            </a:ext>
          </a:extLst>
        </cdr:cNvPr>
        <cdr:cNvSpPr txBox="1"/>
      </cdr:nvSpPr>
      <cdr:spPr>
        <a:xfrm xmlns:a="http://schemas.openxmlformats.org/drawingml/2006/main">
          <a:off x="342153" y="416859"/>
          <a:ext cx="463626" cy="25549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D6E03A63-5A5C-4B4B-B825-70C95A89E974}" type="TxLink">
            <a:rPr lang="en-US" sz="1200" b="0" i="0" u="none" strike="noStrike">
              <a:solidFill>
                <a:srgbClr val="000000"/>
              </a:solidFill>
              <a:latin typeface="Bahnschrift Condensed" panose="020B0502040204020203" pitchFamily="34" charset="0"/>
              <a:ea typeface="Calibri"/>
              <a:cs typeface="Calibri"/>
            </a:rPr>
            <a:t>59%</a:t>
          </a:fld>
          <a:endParaRPr lang="en-US" sz="1100">
            <a:solidFill>
              <a:schemeClr val="accent6">
                <a:lumMod val="75000"/>
              </a:schemeClr>
            </a:solidFill>
            <a:latin typeface="Bahnschrift Condensed" panose="020B0502040204020203"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38100</xdr:colOff>
      <xdr:row>1</xdr:row>
      <xdr:rowOff>118110</xdr:rowOff>
    </xdr:from>
    <xdr:to>
      <xdr:col>6</xdr:col>
      <xdr:colOff>666750</xdr:colOff>
      <xdr:row>5</xdr:row>
      <xdr:rowOff>167640</xdr:rowOff>
    </xdr:to>
    <xdr:graphicFrame macro="">
      <xdr:nvGraphicFramePr>
        <xdr:cNvPr id="2" name="Chart 1">
          <a:extLst>
            <a:ext uri="{FF2B5EF4-FFF2-40B4-BE49-F238E27FC236}">
              <a16:creationId xmlns:a16="http://schemas.microsoft.com/office/drawing/2014/main" id="{5047696B-74D4-4230-9434-99A8A9960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22860</xdr:colOff>
      <xdr:row>2</xdr:row>
      <xdr:rowOff>91441</xdr:rowOff>
    </xdr:from>
    <xdr:to>
      <xdr:col>10</xdr:col>
      <xdr:colOff>510540</xdr:colOff>
      <xdr:row>8</xdr:row>
      <xdr:rowOff>129541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AD86797F-EA9D-4B2C-9B9D-23E10A8D13C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515100" y="487681"/>
              <a:ext cx="18288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396240</xdr:colOff>
      <xdr:row>10</xdr:row>
      <xdr:rowOff>171450</xdr:rowOff>
    </xdr:from>
    <xdr:to>
      <xdr:col>15</xdr:col>
      <xdr:colOff>544830</xdr:colOff>
      <xdr:row>17</xdr:row>
      <xdr:rowOff>15240</xdr:rowOff>
    </xdr:to>
    <xdr:graphicFrame macro="">
      <xdr:nvGraphicFramePr>
        <xdr:cNvPr id="4" name="Chart 3">
          <a:extLst>
            <a:ext uri="{FF2B5EF4-FFF2-40B4-BE49-F238E27FC236}">
              <a16:creationId xmlns:a16="http://schemas.microsoft.com/office/drawing/2014/main" id="{8F05C6C7-85E1-4267-BE64-C4B8DEE5B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205740</xdr:colOff>
      <xdr:row>1</xdr:row>
      <xdr:rowOff>38100</xdr:rowOff>
    </xdr:from>
    <xdr:to>
      <xdr:col>19</xdr:col>
      <xdr:colOff>22860</xdr:colOff>
      <xdr:row>14</xdr:row>
      <xdr:rowOff>158115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23D36D11-6365-43B7-9C92-0E74FE155EE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2062460" y="2362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190500</xdr:colOff>
      <xdr:row>1</xdr:row>
      <xdr:rowOff>182880</xdr:rowOff>
    </xdr:from>
    <xdr:to>
      <xdr:col>9</xdr:col>
      <xdr:colOff>7620</xdr:colOff>
      <xdr:row>15</xdr:row>
      <xdr:rowOff>104775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29ACD5F9-D0D1-4E82-AB09-32D82FC6CE1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539740" y="3810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xdr:colOff>
      <xdr:row>1</xdr:row>
      <xdr:rowOff>30480</xdr:rowOff>
    </xdr:from>
    <xdr:to>
      <xdr:col>12</xdr:col>
      <xdr:colOff>579120</xdr:colOff>
      <xdr:row>14</xdr:row>
      <xdr:rowOff>150495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F5B1A2A7-D314-4C80-AB34-8D8A51C75A6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122920" y="2286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1348740</xdr:colOff>
      <xdr:row>14</xdr:row>
      <xdr:rowOff>110490</xdr:rowOff>
    </xdr:from>
    <xdr:to>
      <xdr:col>4</xdr:col>
      <xdr:colOff>461010</xdr:colOff>
      <xdr:row>20</xdr:row>
      <xdr:rowOff>167640</xdr:rowOff>
    </xdr:to>
    <xdr:graphicFrame macro="">
      <xdr:nvGraphicFramePr>
        <xdr:cNvPr id="4" name="Chart 3">
          <a:extLst>
            <a:ext uri="{FF2B5EF4-FFF2-40B4-BE49-F238E27FC236}">
              <a16:creationId xmlns:a16="http://schemas.microsoft.com/office/drawing/2014/main" id="{28B75382-2874-4D46-8E09-99B8BB45C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163830</xdr:colOff>
      <xdr:row>6</xdr:row>
      <xdr:rowOff>41910</xdr:rowOff>
    </xdr:from>
    <xdr:to>
      <xdr:col>7</xdr:col>
      <xdr:colOff>518160</xdr:colOff>
      <xdr:row>16</xdr:row>
      <xdr:rowOff>114300</xdr:rowOff>
    </xdr:to>
    <xdr:graphicFrame macro="">
      <xdr:nvGraphicFramePr>
        <xdr:cNvPr id="2" name="Chart 1">
          <a:extLst>
            <a:ext uri="{FF2B5EF4-FFF2-40B4-BE49-F238E27FC236}">
              <a16:creationId xmlns:a16="http://schemas.microsoft.com/office/drawing/2014/main" id="{A5FB5FFC-85E0-427C-882C-ED4C87E14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548640</xdr:colOff>
      <xdr:row>3</xdr:row>
      <xdr:rowOff>26670</xdr:rowOff>
    </xdr:from>
    <xdr:to>
      <xdr:col>12</xdr:col>
      <xdr:colOff>514350</xdr:colOff>
      <xdr:row>11</xdr:row>
      <xdr:rowOff>175260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AA3F8FC-62F9-4A3F-A6C9-3B43D2A0FE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65820" y="621030"/>
              <a:ext cx="3318510" cy="1733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7620</xdr:colOff>
      <xdr:row>6</xdr:row>
      <xdr:rowOff>41910</xdr:rowOff>
    </xdr:from>
    <xdr:to>
      <xdr:col>9</xdr:col>
      <xdr:colOff>331470</xdr:colOff>
      <xdr:row>15</xdr:row>
      <xdr:rowOff>15240</xdr:rowOff>
    </xdr:to>
    <xdr:graphicFrame macro="">
      <xdr:nvGraphicFramePr>
        <xdr:cNvPr id="2" name="Chart 1">
          <a:extLst>
            <a:ext uri="{FF2B5EF4-FFF2-40B4-BE49-F238E27FC236}">
              <a16:creationId xmlns:a16="http://schemas.microsoft.com/office/drawing/2014/main" id="{15AB5030-0364-4060-B2BA-85335E6BF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38100</xdr:colOff>
      <xdr:row>6</xdr:row>
      <xdr:rowOff>41910</xdr:rowOff>
    </xdr:from>
    <xdr:to>
      <xdr:col>9</xdr:col>
      <xdr:colOff>331470</xdr:colOff>
      <xdr:row>16</xdr:row>
      <xdr:rowOff>60960</xdr:rowOff>
    </xdr:to>
    <xdr:graphicFrame macro="">
      <xdr:nvGraphicFramePr>
        <xdr:cNvPr id="3" name="Chart 2">
          <a:extLst>
            <a:ext uri="{FF2B5EF4-FFF2-40B4-BE49-F238E27FC236}">
              <a16:creationId xmlns:a16="http://schemas.microsoft.com/office/drawing/2014/main" id="{1F0C7887-599D-4F2B-A5CC-D0E1028AA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617220</xdr:colOff>
      <xdr:row>2</xdr:row>
      <xdr:rowOff>7620</xdr:rowOff>
    </xdr:from>
    <xdr:to>
      <xdr:col>15</xdr:col>
      <xdr:colOff>434340</xdr:colOff>
      <xdr:row>15</xdr:row>
      <xdr:rowOff>127635</xdr:rowOff>
    </xdr:to>
    <mc:AlternateContent xmlns:mc="http://schemas.openxmlformats.org/markup-compatibility/2006">
      <mc:Choice xmlns:a14="http://schemas.microsoft.com/office/drawing/2010/main" Requires="a14">
        <xdr:graphicFrame macro="">
          <xdr:nvGraphicFramePr>
            <xdr:cNvPr id="6" name="Education Field 2">
              <a:extLst>
                <a:ext uri="{FF2B5EF4-FFF2-40B4-BE49-F238E27FC236}">
                  <a16:creationId xmlns:a16="http://schemas.microsoft.com/office/drawing/2014/main" id="{443C7B29-3AB6-4600-B665-3AAC99C0C10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9989820" y="4038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335280</xdr:colOff>
      <xdr:row>3</xdr:row>
      <xdr:rowOff>190500</xdr:rowOff>
    </xdr:from>
    <xdr:to>
      <xdr:col>12</xdr:col>
      <xdr:colOff>152400</xdr:colOff>
      <xdr:row>17</xdr:row>
      <xdr:rowOff>112395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CA421334-677D-4EE0-995F-5C87248E418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696200" y="7848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8</xdr:col>
      <xdr:colOff>30480</xdr:colOff>
      <xdr:row>6</xdr:row>
      <xdr:rowOff>41910</xdr:rowOff>
    </xdr:from>
    <xdr:to>
      <xdr:col>12</xdr:col>
      <xdr:colOff>133350</xdr:colOff>
      <xdr:row>15</xdr:row>
      <xdr:rowOff>121920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CE9555D-452F-4EB4-BC7B-7FB7504C1E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76060" y="1230630"/>
              <a:ext cx="2785110" cy="18630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443.802082638889" createdVersion="7" refreshedVersion="7" minRefreshableVersion="3" recordCount="1470" xr:uid="{608CF5EB-E3A4-42BB-9C50-E7148814F779}">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54696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67EE1C-EDF0-4A41-98BE-7713A85D7A16}" name="KPI" cacheId="14" applyNumberFormats="0" applyBorderFormats="0" applyFontFormats="0" applyPatternFormats="0" applyAlignmentFormats="0" applyWidthHeightFormats="1" dataCaption="Values" updatedVersion="7" minRefreshableVersion="3" showDrill="0" useAutoFormatting="1" itemPrintTitles="1" createdVersion="7" indent="0" showHeaders="0" outline="1" outlineData="1" multipleFieldFilters="0">
  <location ref="A3:C4" firstHeaderRow="0" firstDataRow="1" firstDataCol="0"/>
  <pivotFields count="44">
    <pivotField showAll="0">
      <items count="3">
        <item x="1"/>
        <item x="0"/>
        <item t="default"/>
      </items>
    </pivotField>
    <pivotField showAll="0"/>
    <pivotField showAll="0"/>
    <pivotField showAll="0"/>
    <pivotField showAll="0">
      <items count="4">
        <item h="1" x="2"/>
        <item h="1" x="1"/>
        <item x="0"/>
        <item t="default"/>
      </items>
    </pivotField>
    <pivotField showAll="0">
      <items count="7">
        <item h="1" x="5"/>
        <item h="1" x="0"/>
        <item h="1" x="3"/>
        <item x="2"/>
        <item h="1" x="1"/>
        <item h="1"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9"/>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0B0600-D7F1-428F-B154-C4088FC05D53}" name="PivotTable1"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44">
    <pivotField showAll="0"/>
    <pivotField showAll="0"/>
    <pivotField showAll="0"/>
    <pivotField showAll="0"/>
    <pivotField showAll="0">
      <items count="4">
        <item h="1" x="2"/>
        <item h="1" x="1"/>
        <item x="0"/>
        <item t="default"/>
      </items>
    </pivotField>
    <pivotField showAll="0">
      <items count="7">
        <item h="1" x="5"/>
        <item h="1" x="0"/>
        <item h="1" x="3"/>
        <item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85641-962A-49A6-B3FF-8EBB4E669448}" name="Gender"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44">
    <pivotField showAll="0"/>
    <pivotField showAll="0"/>
    <pivotField showAll="0"/>
    <pivotField showAll="0"/>
    <pivotField showAll="0">
      <items count="4">
        <item h="1" x="2"/>
        <item h="1" x="1"/>
        <item x="0"/>
        <item t="default"/>
      </items>
    </pivotField>
    <pivotField showAll="0">
      <items count="7">
        <item h="1" x="5"/>
        <item h="1" x="0"/>
        <item h="1" x="3"/>
        <item x="2"/>
        <item h="1" x="1"/>
        <item h="1"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41F7ED-2D0B-44CD-B16B-582BF6DAF122}" name="Education By Attrition"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44">
    <pivotField showAll="0"/>
    <pivotField showAll="0"/>
    <pivotField showAll="0"/>
    <pivotField showAll="0"/>
    <pivotField showAll="0">
      <items count="4">
        <item h="1" x="2"/>
        <item h="1"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v="4"/>
    </i>
    <i>
      <x v="1"/>
    </i>
    <i>
      <x/>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BEECEC-50E8-4B4B-92A5-C0127AECB367}" name="Attrition By Job"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showAll="0"/>
    <pivotField showAll="0"/>
    <pivotField showAll="0"/>
    <pivotField showAll="0"/>
    <pivotField showAll="0">
      <items count="4">
        <item h="1" x="2"/>
        <item h="1" x="1"/>
        <item x="0"/>
        <item t="default"/>
      </items>
    </pivotField>
    <pivotField showAll="0">
      <items count="7">
        <item h="1" x="5"/>
        <item h="1" x="0"/>
        <item h="1" x="3"/>
        <item x="2"/>
        <item h="1" x="1"/>
        <item h="1"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3"/>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9DA28C-15D7-4FDD-8530-8DF541C1BFA9}" name="Deptt. wise attrition"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5" firstHeaderRow="1" firstDataRow="1" firstDataCol="1"/>
  <pivotFields count="44">
    <pivotField showAll="0"/>
    <pivotField showAll="0"/>
    <pivotField showAll="0"/>
    <pivotField showAll="0"/>
    <pivotField axis="axisRow" showAll="0">
      <items count="4">
        <item h="1" x="2"/>
        <item h="1"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Sum of CF_attrition count" fld="17" showDataAs="percentOfCol" baseField="0" baseItem="0" numFmtId="10"/>
  </dataFields>
  <chartFormats count="5">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2C021E-44C6-44A3-95BA-C07B8E2D14CF}" name="Attrition By Age"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h="1" x="2"/>
        <item h="1"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701F86-D3B2-4EE7-B586-C9A27C8AAA4A}" name="Marital Status"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h="1" x="2"/>
        <item h="1" x="1"/>
        <item x="0"/>
        <item t="default"/>
      </items>
    </pivotField>
    <pivotField showAll="0">
      <items count="7">
        <item h="1" x="5"/>
        <item h="1" x="0"/>
        <item h="1" x="3"/>
        <item x="2"/>
        <item h="1" x="1"/>
        <item h="1" x="4"/>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D12914C-2803-44A1-8F06-EF19DB9DA2FB}" sourceName="Gender">
  <pivotTables>
    <pivotTable tabId="7" name="KPI"/>
  </pivotTables>
  <data>
    <tabular pivotCacheId="18546969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7013FE4-12E7-4433-BBE9-3623A593F56C}" sourceName="Gender">
  <pivotTables>
    <pivotTable tabId="9" name="PivotTable1"/>
  </pivotTables>
  <data>
    <tabular pivotCacheId="185469691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B46D6E5-B08F-4604-B724-1DB79E43AE11}" sourceName="Gender">
  <pivotTables>
    <pivotTable tabId="10" name="Gender"/>
  </pivotTables>
  <data>
    <tabular pivotCacheId="185469691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1DBDCD98-977C-41C1-8969-611B84A056D5}" sourceName="Education Field">
  <pivotTables>
    <pivotTable tabId="14" name="Attrition By Age"/>
    <pivotTable tabId="12" name="Attrition By Job"/>
    <pivotTable tabId="13" name="Deptt. wise attrition"/>
    <pivotTable tabId="11" name="Education By Attrition"/>
    <pivotTable tabId="10" name="Gender"/>
    <pivotTable tabId="7" name="KPI"/>
    <pivotTable tabId="15" name="Marital Status"/>
    <pivotTable tabId="9" name="PivotTable1"/>
  </pivotTables>
  <data>
    <tabular pivotCacheId="1854696919">
      <items count="6">
        <i x="0"/>
        <i x="3"/>
        <i x="2" s="1"/>
        <i x="1"/>
        <i x="4"/>
        <i x="5"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78669BA-AD62-4A1E-B85F-81A924A296F7}" sourceName="Department">
  <pivotTables>
    <pivotTable tabId="14" name="Attrition By Age"/>
    <pivotTable tabId="12" name="Attrition By Job"/>
    <pivotTable tabId="13" name="Deptt. wise attrition"/>
    <pivotTable tabId="11" name="Education By Attrition"/>
    <pivotTable tabId="10" name="Gender"/>
    <pivotTable tabId="7" name="KPI"/>
    <pivotTable tabId="15" name="Marital Status"/>
    <pivotTable tabId="9" name="PivotTable1"/>
  </pivotTables>
  <data>
    <tabular pivotCacheId="1854696919">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DA2447A-76D9-4EB9-ADD5-2E2FBBD7899F}"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ACEE526-65F1-4E7D-B74C-5D3F091C50D5}" cache="Slicer_Gender2" caption="Gender" columnCount="2" rowHeight="260350"/>
  <slicer name="Education Field 3" xr10:uid="{9862A90B-9570-4325-9736-AE363C9E4777}" cache="Slicer_Education_Field2" caption="Education Field" rowHeight="260350"/>
  <slicer name="Department 1" xr10:uid="{05ADD55B-7131-41EC-87CD-417A8BB7D13E}" cache="Slicer_Department" caption="Department"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DCB3E16-DD25-4837-B606-710EDEDE3846}" cache="Slicer_Gender1" caption="Gender" rowHeight="260350"/>
  <slicer name="Education Field" xr10:uid="{FF435187-4241-49C0-AF6D-827426E291AD}"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3B1FD70-73C5-46C2-94F5-E4139B72A75F}" cache="Slicer_Gender2" caption="Gender" rowHeight="260350"/>
  <slicer name="Education Field 1" xr10:uid="{C6FBD57A-62F0-464A-831F-08F4B29C2A13}"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E77BC3C1-2B02-4CFC-89D6-4C08B9EDDE4B}" cache="Slicer_Education_Field2" caption="Education Field" rowHeight="260350"/>
  <slicer name="Department" xr10:uid="{2C528C44-4946-446E-8515-98F5346AEDF6}" cache="Slicer_Department" caption="Depart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0A29F-1431-4836-8ACA-019B9AE092CB}">
  <dimension ref="A3:E8"/>
  <sheetViews>
    <sheetView workbookViewId="0">
      <selection activeCell="C8" sqref="C8"/>
    </sheetView>
  </sheetViews>
  <sheetFormatPr defaultRowHeight="15.6" x14ac:dyDescent="0.3"/>
  <cols>
    <col min="1" max="1" width="24.5" bestFit="1" customWidth="1"/>
    <col min="2" max="2" width="22.796875" customWidth="1"/>
    <col min="3" max="3" width="13.5" bestFit="1" customWidth="1"/>
    <col min="4" max="4" width="16.296875" customWidth="1"/>
    <col min="5" max="5" width="13.3984375" customWidth="1"/>
  </cols>
  <sheetData>
    <row r="3" spans="1:5" x14ac:dyDescent="0.3">
      <c r="A3" s="2" t="s">
        <v>1554</v>
      </c>
      <c r="B3" s="6" t="s">
        <v>1555</v>
      </c>
      <c r="C3" s="3" t="s">
        <v>1556</v>
      </c>
    </row>
    <row r="4" spans="1:5" x14ac:dyDescent="0.3">
      <c r="A4" s="4">
        <v>88</v>
      </c>
      <c r="B4" s="7">
        <v>14</v>
      </c>
      <c r="C4" s="5">
        <v>34.727272727272727</v>
      </c>
    </row>
    <row r="7" spans="1:5" x14ac:dyDescent="0.3">
      <c r="A7" s="8" t="s">
        <v>1557</v>
      </c>
      <c r="B7" s="8" t="s">
        <v>1558</v>
      </c>
      <c r="C7" s="8" t="s">
        <v>1559</v>
      </c>
      <c r="D7" s="8" t="s">
        <v>1560</v>
      </c>
      <c r="E7" s="8" t="s">
        <v>1561</v>
      </c>
    </row>
    <row r="8" spans="1:5" x14ac:dyDescent="0.3">
      <c r="A8">
        <f>GETPIVOTDATA("Count of Employee Number",$A$3)</f>
        <v>88</v>
      </c>
      <c r="B8">
        <f>GETPIVOTDATA("Sum of CF_attrition count",$A$3)</f>
        <v>14</v>
      </c>
      <c r="C8" s="10">
        <f>GETPIVOTDATA("Average of Age",$A$3)</f>
        <v>34.727272727272727</v>
      </c>
      <c r="D8">
        <f>A8-B8</f>
        <v>74</v>
      </c>
      <c r="E8" s="9">
        <f>B8/A8</f>
        <v>0.15909090909090909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C890-060E-438C-9852-1793E67355F8}">
  <dimension ref="A1"/>
  <sheetViews>
    <sheetView showGridLines="0" tabSelected="1" zoomScale="102" workbookViewId="0">
      <selection activeCell="I31" sqref="I31"/>
    </sheetView>
  </sheetViews>
  <sheetFormatPr defaultRowHeight="15.6" x14ac:dyDescent="0.3"/>
  <cols>
    <col min="1" max="16384" width="8.796875" style="11"/>
  </cols>
  <sheetData>
    <row r="1" spans="1:1" x14ac:dyDescent="0.3">
      <c r="A1" s="11" t="s">
        <v>1568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2578A-F027-4E06-ACAA-4DE6D05464B7}">
  <dimension ref="A3:C7"/>
  <sheetViews>
    <sheetView workbookViewId="0">
      <selection activeCell="A4" sqref="A4"/>
    </sheetView>
  </sheetViews>
  <sheetFormatPr defaultRowHeight="15.6" x14ac:dyDescent="0.3"/>
  <cols>
    <col min="1" max="1" width="23.59765625" bestFit="1" customWidth="1"/>
  </cols>
  <sheetData>
    <row r="3" spans="1:3" x14ac:dyDescent="0.3">
      <c r="A3" s="12" t="s">
        <v>1562</v>
      </c>
    </row>
    <row r="4" spans="1:3" x14ac:dyDescent="0.3">
      <c r="A4" s="13">
        <v>3.1590909090909092</v>
      </c>
    </row>
    <row r="6" spans="1:3" x14ac:dyDescent="0.3">
      <c r="A6" t="s">
        <v>1563</v>
      </c>
      <c r="B6" s="14">
        <f>GETPIVOTDATA("Job Satisfaction",$A$3)</f>
        <v>3.1590909090909092</v>
      </c>
      <c r="C6">
        <f>B6/4</f>
        <v>0.78977272727272729</v>
      </c>
    </row>
    <row r="7" spans="1:3" x14ac:dyDescent="0.3">
      <c r="A7" t="s">
        <v>1564</v>
      </c>
      <c r="B7" s="14">
        <f>4-B6</f>
        <v>0.84090909090909083</v>
      </c>
      <c r="C7">
        <f>B7/4</f>
        <v>0.21022727272727271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2D43-EA86-4FD5-A0ED-18BA0AC61CC5}">
  <dimension ref="A3:C11"/>
  <sheetViews>
    <sheetView workbookViewId="0">
      <selection activeCell="C9" sqref="C9:C10"/>
    </sheetView>
  </sheetViews>
  <sheetFormatPr defaultRowHeight="15.6" x14ac:dyDescent="0.3"/>
  <cols>
    <col min="1" max="1" width="12.19921875" bestFit="1" customWidth="1"/>
    <col min="2" max="2" width="22.796875" bestFit="1" customWidth="1"/>
  </cols>
  <sheetData>
    <row r="3" spans="1:3" x14ac:dyDescent="0.3">
      <c r="A3" s="15" t="s">
        <v>1565</v>
      </c>
      <c r="B3" s="12" t="s">
        <v>1567</v>
      </c>
    </row>
    <row r="4" spans="1:3" x14ac:dyDescent="0.3">
      <c r="A4" s="16" t="s">
        <v>51</v>
      </c>
      <c r="B4" s="17">
        <v>36</v>
      </c>
    </row>
    <row r="5" spans="1:3" x14ac:dyDescent="0.3">
      <c r="A5" s="18" t="s">
        <v>62</v>
      </c>
      <c r="B5" s="19">
        <v>52</v>
      </c>
    </row>
    <row r="6" spans="1:3" x14ac:dyDescent="0.3">
      <c r="A6" s="20" t="s">
        <v>1566</v>
      </c>
      <c r="B6" s="21">
        <v>88</v>
      </c>
    </row>
    <row r="9" spans="1:3" x14ac:dyDescent="0.3">
      <c r="A9" s="22" t="s">
        <v>51</v>
      </c>
      <c r="B9">
        <f>IFERROR(GETPIVOTDATA("Employee Count",$A$3,"Gender","Female"),0)</f>
        <v>36</v>
      </c>
      <c r="C9" s="23">
        <f>IFERROR(B9/($B$9+$B$10),0)</f>
        <v>0.40909090909090912</v>
      </c>
    </row>
    <row r="10" spans="1:3" x14ac:dyDescent="0.3">
      <c r="A10" s="22" t="s">
        <v>62</v>
      </c>
      <c r="B10">
        <f>IFERROR(GETPIVOTDATA("Employee Count",$A$3,"Gender","Male"),0)</f>
        <v>52</v>
      </c>
      <c r="C10" s="23">
        <f>IFERROR(B10/($B$9+$B$10),0)</f>
        <v>0.59090909090909094</v>
      </c>
    </row>
    <row r="11" spans="1:3" x14ac:dyDescent="0.3">
      <c r="B11" t="s">
        <v>1568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324F-C643-4BBC-BD8C-52D9254281E6}">
  <dimension ref="A3:B9"/>
  <sheetViews>
    <sheetView workbookViewId="0">
      <selection activeCell="G21" sqref="G21"/>
    </sheetView>
  </sheetViews>
  <sheetFormatPr defaultRowHeight="15.6" x14ac:dyDescent="0.3"/>
  <cols>
    <col min="1" max="1" width="16" bestFit="1" customWidth="1"/>
    <col min="2" max="2" width="22.796875" bestFit="1" customWidth="1"/>
  </cols>
  <sheetData>
    <row r="3" spans="1:2" x14ac:dyDescent="0.3">
      <c r="A3" s="15" t="s">
        <v>1565</v>
      </c>
      <c r="B3" s="12" t="s">
        <v>1555</v>
      </c>
    </row>
    <row r="4" spans="1:2" x14ac:dyDescent="0.3">
      <c r="A4" s="16" t="s">
        <v>134</v>
      </c>
      <c r="B4" s="17">
        <v>0</v>
      </c>
    </row>
    <row r="5" spans="1:2" x14ac:dyDescent="0.3">
      <c r="A5" s="18" t="s">
        <v>65</v>
      </c>
      <c r="B5" s="19">
        <v>1</v>
      </c>
    </row>
    <row r="6" spans="1:2" x14ac:dyDescent="0.3">
      <c r="A6" s="18" t="s">
        <v>71</v>
      </c>
      <c r="B6" s="19">
        <v>3</v>
      </c>
    </row>
    <row r="7" spans="1:2" x14ac:dyDescent="0.3">
      <c r="A7" s="18" t="s">
        <v>77</v>
      </c>
      <c r="B7" s="19">
        <v>4</v>
      </c>
    </row>
    <row r="8" spans="1:2" x14ac:dyDescent="0.3">
      <c r="A8" s="18" t="s">
        <v>55</v>
      </c>
      <c r="B8" s="19">
        <v>6</v>
      </c>
    </row>
    <row r="9" spans="1:2" x14ac:dyDescent="0.3">
      <c r="A9" s="20" t="s">
        <v>1566</v>
      </c>
      <c r="B9" s="21">
        <v>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FD42-F682-4381-BF60-2380D0067174}">
  <dimension ref="A3:E12"/>
  <sheetViews>
    <sheetView workbookViewId="0">
      <selection activeCell="D4" sqref="D4:E12"/>
    </sheetView>
  </sheetViews>
  <sheetFormatPr defaultRowHeight="15.6" x14ac:dyDescent="0.3"/>
  <cols>
    <col min="1" max="1" width="18.3984375" bestFit="1" customWidth="1"/>
    <col min="2" max="2" width="22.796875" bestFit="1" customWidth="1"/>
    <col min="4" max="4" width="22.59765625" customWidth="1"/>
  </cols>
  <sheetData>
    <row r="3" spans="1:5" x14ac:dyDescent="0.3">
      <c r="A3" s="15" t="s">
        <v>1565</v>
      </c>
      <c r="B3" s="12" t="s">
        <v>1555</v>
      </c>
      <c r="D3" t="s">
        <v>9</v>
      </c>
      <c r="E3" t="s">
        <v>0</v>
      </c>
    </row>
    <row r="4" spans="1:5" x14ac:dyDescent="0.3">
      <c r="A4" s="16" t="s">
        <v>95</v>
      </c>
      <c r="B4" s="17">
        <v>0</v>
      </c>
      <c r="D4" t="str">
        <f>A4</f>
        <v>Manager</v>
      </c>
      <c r="E4">
        <f>GETPIVOTDATA("CF_attrition count",$A$3,"Job Role",A4)</f>
        <v>0</v>
      </c>
    </row>
    <row r="5" spans="1:5" x14ac:dyDescent="0.3">
      <c r="A5" s="18" t="s">
        <v>52</v>
      </c>
      <c r="B5" s="19">
        <v>9</v>
      </c>
      <c r="D5" t="str">
        <f t="shared" ref="D5:D12" si="0">A5</f>
        <v>Sales Executive</v>
      </c>
      <c r="E5">
        <f t="shared" ref="E5:E12" si="1">GETPIVOTDATA("CF_attrition count",$A$3,"Job Role",A5)</f>
        <v>9</v>
      </c>
    </row>
    <row r="6" spans="1:5" x14ac:dyDescent="0.3">
      <c r="A6" s="18" t="s">
        <v>99</v>
      </c>
      <c r="B6" s="19">
        <v>5</v>
      </c>
      <c r="D6" t="str">
        <f t="shared" si="0"/>
        <v>Sales Representative</v>
      </c>
      <c r="E6">
        <f t="shared" si="1"/>
        <v>5</v>
      </c>
    </row>
    <row r="7" spans="1:5" x14ac:dyDescent="0.3">
      <c r="A7" s="20" t="s">
        <v>1566</v>
      </c>
      <c r="B7" s="21">
        <v>14</v>
      </c>
      <c r="D7" t="str">
        <f t="shared" si="0"/>
        <v>Grand Total</v>
      </c>
      <c r="E7" t="e">
        <f t="shared" si="1"/>
        <v>#REF!</v>
      </c>
    </row>
    <row r="8" spans="1:5" x14ac:dyDescent="0.3">
      <c r="D8">
        <f t="shared" si="0"/>
        <v>0</v>
      </c>
      <c r="E8" t="e">
        <f t="shared" si="1"/>
        <v>#REF!</v>
      </c>
    </row>
    <row r="9" spans="1:5" x14ac:dyDescent="0.3">
      <c r="D9">
        <f t="shared" si="0"/>
        <v>0</v>
      </c>
      <c r="E9" t="e">
        <f t="shared" si="1"/>
        <v>#REF!</v>
      </c>
    </row>
    <row r="10" spans="1:5" x14ac:dyDescent="0.3">
      <c r="D10">
        <f t="shared" si="0"/>
        <v>0</v>
      </c>
      <c r="E10" t="e">
        <f t="shared" si="1"/>
        <v>#REF!</v>
      </c>
    </row>
    <row r="11" spans="1:5" x14ac:dyDescent="0.3">
      <c r="D11">
        <f t="shared" si="0"/>
        <v>0</v>
      </c>
      <c r="E11" t="e">
        <f t="shared" si="1"/>
        <v>#REF!</v>
      </c>
    </row>
    <row r="12" spans="1:5" x14ac:dyDescent="0.3">
      <c r="D12">
        <f t="shared" si="0"/>
        <v>0</v>
      </c>
      <c r="E12" t="e">
        <f t="shared" si="1"/>
        <v>#REF!</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86967-2275-4C7F-9EA7-DFC229541699}">
  <dimension ref="A3:B5"/>
  <sheetViews>
    <sheetView workbookViewId="0">
      <selection activeCell="E18" sqref="E18"/>
    </sheetView>
  </sheetViews>
  <sheetFormatPr defaultRowHeight="15.6" x14ac:dyDescent="0.3"/>
  <cols>
    <col min="1" max="1" width="12.19921875" bestFit="1" customWidth="1"/>
    <col min="2" max="2" width="22.796875" bestFit="1" customWidth="1"/>
  </cols>
  <sheetData>
    <row r="3" spans="1:2" x14ac:dyDescent="0.3">
      <c r="A3" s="15" t="s">
        <v>1565</v>
      </c>
      <c r="B3" s="12" t="s">
        <v>1555</v>
      </c>
    </row>
    <row r="4" spans="1:2" x14ac:dyDescent="0.3">
      <c r="A4" s="16" t="s">
        <v>48</v>
      </c>
      <c r="B4" s="24">
        <v>1</v>
      </c>
    </row>
    <row r="5" spans="1:2" x14ac:dyDescent="0.3">
      <c r="A5" s="20" t="s">
        <v>1566</v>
      </c>
      <c r="B5" s="25">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62B95-35F8-44D5-8EAF-DA87EE8C17BA}">
  <dimension ref="A3:B9"/>
  <sheetViews>
    <sheetView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5" t="s">
        <v>1565</v>
      </c>
      <c r="B3" s="12" t="s">
        <v>1555</v>
      </c>
    </row>
    <row r="4" spans="1:2" x14ac:dyDescent="0.3">
      <c r="A4" s="16" t="s">
        <v>69</v>
      </c>
      <c r="B4" s="17">
        <v>6</v>
      </c>
    </row>
    <row r="5" spans="1:2" x14ac:dyDescent="0.3">
      <c r="A5" s="18" t="s">
        <v>46</v>
      </c>
      <c r="B5" s="19">
        <v>3</v>
      </c>
    </row>
    <row r="6" spans="1:2" x14ac:dyDescent="0.3">
      <c r="A6" s="18" t="s">
        <v>92</v>
      </c>
      <c r="B6" s="19">
        <v>2</v>
      </c>
    </row>
    <row r="7" spans="1:2" x14ac:dyDescent="0.3">
      <c r="A7" s="18" t="s">
        <v>58</v>
      </c>
      <c r="B7" s="19">
        <v>2</v>
      </c>
    </row>
    <row r="8" spans="1:2" x14ac:dyDescent="0.3">
      <c r="A8" s="18" t="s">
        <v>75</v>
      </c>
      <c r="B8" s="19">
        <v>1</v>
      </c>
    </row>
    <row r="9" spans="1:2" x14ac:dyDescent="0.3">
      <c r="A9" s="20" t="s">
        <v>1566</v>
      </c>
      <c r="B9" s="21">
        <v>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7BFA-A61E-4C92-BB64-CA07C5A9E0A3}">
  <dimension ref="A3:E7"/>
  <sheetViews>
    <sheetView workbookViewId="0">
      <selection activeCell="B5" sqref="B5"/>
    </sheetView>
  </sheetViews>
  <sheetFormatPr defaultRowHeight="15.6" x14ac:dyDescent="0.3"/>
  <cols>
    <col min="1" max="1" width="12.19921875" bestFit="1" customWidth="1"/>
    <col min="2" max="2" width="16" bestFit="1" customWidth="1"/>
    <col min="4" max="4" width="13.69921875" customWidth="1"/>
  </cols>
  <sheetData>
    <row r="3" spans="1:5" x14ac:dyDescent="0.3">
      <c r="A3" s="15" t="s">
        <v>1565</v>
      </c>
      <c r="B3" s="12" t="s">
        <v>1569</v>
      </c>
      <c r="D3" t="s">
        <v>10</v>
      </c>
      <c r="E3" t="s">
        <v>0</v>
      </c>
    </row>
    <row r="4" spans="1:5" x14ac:dyDescent="0.3">
      <c r="A4" s="16" t="s">
        <v>64</v>
      </c>
      <c r="B4" s="17">
        <v>36</v>
      </c>
      <c r="D4" t="str">
        <f>A4</f>
        <v>Married</v>
      </c>
      <c r="E4">
        <f>GETPIVOTDATA("Attrition",$A$3,"Marital Status",A4)</f>
        <v>36</v>
      </c>
    </row>
    <row r="5" spans="1:5" x14ac:dyDescent="0.3">
      <c r="A5" s="18" t="s">
        <v>53</v>
      </c>
      <c r="B5" s="19">
        <v>31</v>
      </c>
      <c r="D5" t="str">
        <f>A5</f>
        <v>Single</v>
      </c>
      <c r="E5">
        <f>GETPIVOTDATA("Attrition",$A$3,"Marital Status",A5)</f>
        <v>31</v>
      </c>
    </row>
    <row r="6" spans="1:5" x14ac:dyDescent="0.3">
      <c r="A6" s="18" t="s">
        <v>79</v>
      </c>
      <c r="B6" s="19">
        <v>21</v>
      </c>
      <c r="D6" t="str">
        <f>A6</f>
        <v>Divorced</v>
      </c>
      <c r="E6">
        <f>GETPIVOTDATA("Attrition",$A$3,"Marital Status",A6)</f>
        <v>21</v>
      </c>
    </row>
    <row r="7" spans="1:5" x14ac:dyDescent="0.3">
      <c r="A7" s="20" t="s">
        <v>1566</v>
      </c>
      <c r="B7" s="21">
        <v>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4" sqref="C4"/>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Dashboard</vt:lpstr>
      <vt:lpstr>Rating</vt:lpstr>
      <vt:lpstr>Gender</vt:lpstr>
      <vt:lpstr>Education By Attrition</vt:lpstr>
      <vt:lpstr>Attrition By Job</vt:lpstr>
      <vt:lpstr>Dept wise attrition</vt:lpstr>
      <vt:lpstr>Attrition By Age</vt:lpstr>
      <vt:lpstr>Marital Status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LENOVO</cp:lastModifiedBy>
  <dcterms:created xsi:type="dcterms:W3CDTF">2022-12-29T16:02:46Z</dcterms:created>
  <dcterms:modified xsi:type="dcterms:W3CDTF">2024-06-03T17:40:07Z</dcterms:modified>
</cp:coreProperties>
</file>